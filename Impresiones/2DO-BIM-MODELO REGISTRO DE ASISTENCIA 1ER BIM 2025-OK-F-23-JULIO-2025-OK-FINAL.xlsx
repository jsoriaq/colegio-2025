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firstSheet="1" activeTab="2"/>
  </bookViews>
  <sheets>
    <sheet name="RELACION GENERAL" sheetId="1" r:id="rId1"/>
    <sheet name="3D-B-1-ASIST" sheetId="2" r:id="rId2"/>
    <sheet name="5I-1ER-B-ASIST" sheetId="3" r:id="rId3"/>
    <sheet name="5R-1ER-B-ASIST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<sst xmlns="http://schemas.openxmlformats.org/spreadsheetml/2006/main" count="1389" uniqueCount="176">
  <si>
    <t>PROF.      SE COMPARTE CON  - CONSTRUCCION CIVIL</t>
  </si>
  <si>
    <t>PROF.      SE COMPARTE CON  - MECANICA DE PROD.</t>
  </si>
  <si>
    <t>PROF.       SE COMPARTE CON - COMPUTACION</t>
  </si>
  <si>
    <t>3ro "D"</t>
  </si>
  <si>
    <t>5to "I"</t>
  </si>
  <si>
    <t>5to "R"</t>
  </si>
  <si>
    <t>CASAVILCA ACOSTA YZUHAIM HUGO ALBERTO</t>
  </si>
  <si>
    <t>CALDERON FALCON DORIAM JOSUE</t>
  </si>
  <si>
    <t>APUMAITA GUTIERREZ JULIO LUCIANO</t>
  </si>
  <si>
    <t>CASTRO VARGAS JHORDAN ANDREE WILLIAN</t>
  </si>
  <si>
    <t>CAMPOS PALOMINO MAXIMO NASSIR</t>
  </si>
  <si>
    <t>CABRERA ORTIZ THIAGO ARMANDO</t>
  </si>
  <si>
    <t>CONDE GAMBOA JHONATAN RODRIGO</t>
  </si>
  <si>
    <t>CHUQUIZUTA VALENCIA FRANKLIN YAZID</t>
  </si>
  <si>
    <t>CACERES CAHUANA JESUS ANDRES</t>
  </si>
  <si>
    <t>CUADROS ZEVALLOS ANGELO DAVID</t>
  </si>
  <si>
    <t>COTAQUISPE GALVEZ YOJAN ANDRES</t>
  </si>
  <si>
    <t>DE LA CRUZ SIGUAS LUIS ALBERTO</t>
  </si>
  <si>
    <t>GALINDO HERNANDEZ EMERSON FELIPE</t>
  </si>
  <si>
    <t>HUAMANI PAUCAR LUIS ALFREDO</t>
  </si>
  <si>
    <t>HERNANDEZ PEÑA JOSEPH ANDREE</t>
  </si>
  <si>
    <t>HERNANDEZ ENRIQUEZ JARED MIGUEL</t>
  </si>
  <si>
    <t>HUARCAYA BACAS HENRY VICENTE</t>
  </si>
  <si>
    <t>JUAREZ LEGUA VICTOR DANIEL</t>
  </si>
  <si>
    <t>HERNANDEZ MUNIVE NICOLAS ERNESTO</t>
  </si>
  <si>
    <t>HUAYHUAMEZA LEÑAN DEYVIS</t>
  </si>
  <si>
    <t>MEJIA SIMON VICENTE MISAEL</t>
  </si>
  <si>
    <t>NAVAS GOMEZ BENJAMIN HUMBERTO</t>
  </si>
  <si>
    <t>JUSCAMAYTA HUARACC YOSSIMAR BAYRON</t>
  </si>
  <si>
    <t>MEZA CARDENAS FERNANDO ALEXANDER</t>
  </si>
  <si>
    <t>PACHECO ESPILLCO MATIAS DEYAIR</t>
  </si>
  <si>
    <t>LEVANO GALINDO CRISTOPHER ANDRES</t>
  </si>
  <si>
    <t>MISAICO CHAHUAILA JUAN DAVID</t>
  </si>
  <si>
    <t>RAMIREZ ESCRIBA JHERCY HUSCIEL</t>
  </si>
  <si>
    <t>LINARES ZAPATA CARLOS ALBERTO</t>
  </si>
  <si>
    <t>MUÑOZ QUINTANILLA JACKXEL EDUARDO</t>
  </si>
  <si>
    <t>SANCHEZ SANTIAGO KALEB MOISES</t>
  </si>
  <si>
    <t>MOZO HUAYRA PEDRO CALEB</t>
  </si>
  <si>
    <t>PEÑA ASCENCIO CESAR LUIS</t>
  </si>
  <si>
    <t>SEGOVIA LICAS DANGELO KENDALL</t>
  </si>
  <si>
    <t>NECOCHEA CASTILLO ANTHONY ORLANDO</t>
  </si>
  <si>
    <t>SOSA FUENTES UBALDO FRANCISCO</t>
  </si>
  <si>
    <t>VELARDE GONZALEZ MARCOS MIGUEL</t>
  </si>
  <si>
    <t>ÑAÑEZ CARRASQUEL DIEGO ALEJANDRO</t>
  </si>
  <si>
    <t>YARCURI CRISOSTOMO JUAN DIEGO</t>
  </si>
  <si>
    <t>PEREZ MUÑOZ SAMIER ALEJANDRO</t>
  </si>
  <si>
    <t>PICHARDE AQUINO CARLOS GABRIEL</t>
  </si>
  <si>
    <t>VEGA CANALES ALVEYRO CRISTOBAL</t>
  </si>
  <si>
    <t>REGISTRO AUXILIAR DE EDUCACIÓN PARA EL TRABAJO - ELECTRICIDAD - 2021 -- 1º BIMESTRE</t>
  </si>
  <si>
    <t>Nº DE ORDEN</t>
  </si>
  <si>
    <t>I. E.</t>
  </si>
  <si>
    <t>Promedio de Capacidades y Actitudes</t>
  </si>
  <si>
    <t>"SAN LUIS GONZAGA"</t>
  </si>
  <si>
    <t>APLICA HABILIDADES Y TECNICAS</t>
  </si>
  <si>
    <t>TRABAJA COOPERATIVAMENTE PARA LOGRAR OBJETIVOS Y METAS</t>
  </si>
  <si>
    <t>EVALUA LOS RESULTADOS DEL PROYECTO</t>
  </si>
  <si>
    <t>SE DESEMVUELVE EN ENTORNOS VIRTUALES GENERDAS POR LAS TIC</t>
  </si>
  <si>
    <t>GESTIONA SU APRENDIZAJE DE MAERA AUTONOMA</t>
  </si>
  <si>
    <t>PC-1</t>
  </si>
  <si>
    <t>PC-2</t>
  </si>
  <si>
    <t>PC-3</t>
  </si>
  <si>
    <t>PC-4</t>
  </si>
  <si>
    <t>ESPECIALIDAD: ELECTRICIDAD</t>
  </si>
  <si>
    <t>Evaluación Diagnostica: Desarrolla la gestion de propuesta de valor con ideas creativa y puntos de vista reveladores</t>
  </si>
  <si>
    <t xml:space="preserve">   PROMEDIO C-1</t>
  </si>
  <si>
    <t>Gestiona emprendimientos economicos o sociales de su interes proponiendo un reto o desafio y realizando la empatia para recoger datos</t>
  </si>
  <si>
    <t xml:space="preserve">reconoce y valora la seguridad electrica en su lugar de trabajo o estudio </t>
  </si>
  <si>
    <t>Promueve y ejecuta actividades de prevensión frente a un riesgo electrico</t>
  </si>
  <si>
    <t xml:space="preserve">   PROMEDIO C-2</t>
  </si>
  <si>
    <t>Trabaja cooperativamente recombinado sus roles y responsabilidades individuales para el logro de la competencia</t>
  </si>
  <si>
    <t xml:space="preserve">Organiza su area de trabajo para su adecuado trabajo remoto y uso de TIC </t>
  </si>
  <si>
    <t xml:space="preserve">   PROMEDIO C-3</t>
  </si>
  <si>
    <t>Implementa tecnicas (malla receptora) optimamente para evaluar su proptotipo y proyecto de meprendimiento</t>
  </si>
  <si>
    <t>Incorpora mejoras innovadoras y creativas en el proyecto basico de emprendimiento orientado a la especialidad de EPT.</t>
  </si>
  <si>
    <t xml:space="preserve">   PROMEDIO C-4</t>
  </si>
  <si>
    <t>Se desenvuelve en los entornos virtuales cuando integra distintas actividades, actitudes y conocimientos de diversos contextos</t>
  </si>
  <si>
    <t>Gestiona su aprendizaje de manera autónoma al darse cuenta lo que debe aprender al distinguir lo sencillo o complejo de una tarea, y por ende define metas personales respaldándose en sus potencialidades</t>
  </si>
  <si>
    <t>GRADO Y SECCIÓN: 5 "J"</t>
  </si>
  <si>
    <t>BIMESTRE:      I</t>
  </si>
  <si>
    <t>PROFESOR (A): Julio César</t>
  </si>
  <si>
    <t>SORIA QUISPE</t>
  </si>
  <si>
    <t>APELLIDOS Y NOMBRES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</si>
  <si>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</si>
  <si>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</si>
  <si>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</si>
  <si>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</si>
  <si>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</si>
  <si>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</si>
  <si>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</si>
  <si>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</si>
  <si>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</si>
  <si>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</si>
  <si>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</si>
  <si>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</si>
  <si>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</si>
  <si>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</si>
  <si>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</si>
  <si>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</si>
  <si>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</si>
  <si>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</si>
  <si>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</si>
  <si>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</si>
  <si>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</si>
  <si>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</si>
  <si>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</si>
  <si>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</si>
  <si>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</si>
  <si>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</si>
  <si>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</si>
  <si>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</si>
  <si>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</si>
  <si>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</si>
  <si>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</si>
  <si>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</si>
  <si>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</si>
  <si>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REGISTRO DE ASISTENCIA DEL 3RO-D  -- 2DO BIM</t>
  </si>
  <si>
    <t>TERCERO "D"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</si>
  <si>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</si>
  <si>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</si>
  <si>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</si>
  <si>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</si>
  <si>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</si>
  <si>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</si>
  <si>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</si>
  <si>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</si>
  <si>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</si>
  <si>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</si>
  <si>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LUNES</t>
  </si>
  <si>
    <t>MARTES</t>
  </si>
  <si>
    <t>MIECOLES</t>
  </si>
  <si>
    <t xml:space="preserve">LUNES </t>
  </si>
  <si>
    <t>Nº</t>
  </si>
  <si>
    <t xml:space="preserve">APELLIDOS Y NOMBRES </t>
  </si>
  <si>
    <t>CELULARES - PP FF</t>
  </si>
  <si>
    <t>CELULARES</t>
  </si>
  <si>
    <t>OK</t>
  </si>
  <si>
    <t>DIA</t>
  </si>
  <si>
    <t>Ok</t>
  </si>
  <si>
    <t>ok</t>
  </si>
  <si>
    <t>FERIADO</t>
  </si>
  <si>
    <t>AD</t>
  </si>
  <si>
    <t xml:space="preserve">NO </t>
  </si>
  <si>
    <t xml:space="preserve">DIA </t>
  </si>
  <si>
    <t>LABORAB.</t>
  </si>
  <si>
    <t>DE LA</t>
  </si>
  <si>
    <t>ANIVERSARIO</t>
  </si>
  <si>
    <t>FAP</t>
  </si>
  <si>
    <t>TUTOR</t>
  </si>
  <si>
    <t>TARDE</t>
  </si>
  <si>
    <t>W-APP</t>
  </si>
  <si>
    <t>AUX.</t>
  </si>
  <si>
    <t>PERMISO</t>
  </si>
  <si>
    <t>REGISTRO DE ASISTENCIA DEL 5TO - I  -- 2DO BIM</t>
  </si>
  <si>
    <t>QUINTO "I"</t>
  </si>
  <si>
    <t>JUEVES</t>
  </si>
  <si>
    <t>VIERNES</t>
  </si>
  <si>
    <t xml:space="preserve">MARTES </t>
  </si>
  <si>
    <t>JUVES</t>
  </si>
  <si>
    <t xml:space="preserve">FERIADO </t>
  </si>
  <si>
    <t>DEL</t>
  </si>
  <si>
    <t>DESFILE</t>
  </si>
  <si>
    <t>B</t>
  </si>
  <si>
    <t>LOGRO</t>
  </si>
  <si>
    <t>A</t>
  </si>
  <si>
    <t>C</t>
  </si>
  <si>
    <t>REGISTRO DE ASISTENCIA DEL 5TO - I  --  2DO BIM</t>
  </si>
  <si>
    <t>QUINTO "R"</t>
  </si>
  <si>
    <t>MIERCOLES</t>
  </si>
  <si>
    <t xml:space="preserve">MIERCOLES </t>
  </si>
  <si>
    <t xml:space="preserve"> </t>
  </si>
  <si>
    <t>FIESTAS</t>
  </si>
  <si>
    <t>LAB</t>
  </si>
  <si>
    <t>PATRIAS</t>
  </si>
  <si>
    <t>ANIVERS.</t>
  </si>
  <si>
    <t xml:space="preserve">EVALUACION </t>
  </si>
  <si>
    <t>ECRE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</si>
</sst>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#"/>
  </numFmts>
  <fonts count="47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7"/>
      <name val="Arial"/>
      <charset val="134"/>
    </font>
    <font>
      <sz val="12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b/>
      <sz val="7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24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color rgb="FF000000"/>
      <name val="Calibri Light"/>
      <charset val="134"/>
      <scheme val="major"/>
    </font>
    <font>
      <sz val="6"/>
      <name val="Arial"/>
      <charset val="134"/>
    </font>
    <font>
      <sz val="10"/>
      <color rgb="FF00000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sz val="16"/>
      <color theme="1"/>
      <name val="Calibri"/>
      <charset val="134"/>
      <scheme val="minor"/>
    </font>
    <font>
      <u/>
      <sz val="10"/>
      <name val="Arial"/>
      <charset val="134"/>
    </font>
    <font>
      <sz val="10"/>
      <color theme="1"/>
      <name val="Arial"/>
      <charset val="134"/>
    </font>
    <font>
      <sz val="11"/>
      <color rgb="FF000000"/>
      <name val="Calibri"/>
      <charset val="134"/>
    </font>
    <font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1" borderId="2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24" applyNumberFormat="0" applyAlignment="0" applyProtection="0">
      <alignment vertical="center"/>
    </xf>
    <xf numFmtId="0" fontId="37" fillId="13" borderId="25" applyNumberFormat="0" applyAlignment="0" applyProtection="0">
      <alignment vertical="center"/>
    </xf>
    <xf numFmtId="0" fontId="38" fillId="13" borderId="24" applyNumberFormat="0" applyAlignment="0" applyProtection="0">
      <alignment vertical="center"/>
    </xf>
    <xf numFmtId="0" fontId="39" fillId="14" borderId="26" applyNumberFormat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</cellStyleXfs>
  <cellXfs count="10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textRotation="90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0" fillId="0" borderId="7" xfId="0" applyBorder="1"/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10" fillId="0" borderId="11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 textRotation="90" wrapText="1"/>
    </xf>
    <xf numFmtId="0" fontId="0" fillId="0" borderId="10" xfId="0" applyBorder="1"/>
    <xf numFmtId="1" fontId="7" fillId="0" borderId="2" xfId="0" applyNumberFormat="1" applyFont="1" applyBorder="1" applyAlignment="1" applyProtection="1">
      <alignment horizontal="left" vertical="center"/>
      <protection locked="0"/>
    </xf>
    <xf numFmtId="178" fontId="9" fillId="0" borderId="2" xfId="0" applyNumberFormat="1" applyFont="1" applyBorder="1" applyAlignment="1">
      <alignment horizontal="center"/>
    </xf>
    <xf numFmtId="178" fontId="9" fillId="0" borderId="0" xfId="0" applyNumberFormat="1" applyFont="1" applyAlignment="1">
      <alignment horizontal="center"/>
    </xf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6" borderId="15" xfId="0" applyFill="1" applyBorder="1" applyAlignment="1">
      <alignment horizontal="center"/>
    </xf>
    <xf numFmtId="16" fontId="15" fillId="3" borderId="0" xfId="0" applyNumberFormat="1" applyFont="1" applyFill="1" applyAlignment="1">
      <alignment horizontal="center"/>
    </xf>
    <xf numFmtId="1" fontId="0" fillId="0" borderId="16" xfId="0" applyNumberFormat="1" applyBorder="1"/>
    <xf numFmtId="0" fontId="16" fillId="0" borderId="14" xfId="0" applyFont="1" applyBorder="1" applyAlignment="1">
      <alignment horizontal="center" wrapText="1"/>
    </xf>
    <xf numFmtId="0" fontId="11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" fillId="2" borderId="14" xfId="0" applyFont="1" applyFill="1" applyBorder="1"/>
    <xf numFmtId="1" fontId="1" fillId="2" borderId="16" xfId="0" applyNumberFormat="1" applyFont="1" applyFill="1" applyBorder="1"/>
    <xf numFmtId="0" fontId="17" fillId="2" borderId="14" xfId="0" applyFont="1" applyFill="1" applyBorder="1" applyAlignment="1">
      <alignment horizontal="center" wrapText="1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17" xfId="0" applyFont="1" applyBorder="1" applyAlignment="1">
      <alignment horizont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90" wrapText="1"/>
    </xf>
    <xf numFmtId="0" fontId="19" fillId="2" borderId="1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" fontId="0" fillId="0" borderId="0" xfId="0" applyNumberFormat="1"/>
    <xf numFmtId="0" fontId="21" fillId="0" borderId="0" xfId="0" applyFont="1" applyAlignment="1">
      <alignment horizontal="center"/>
    </xf>
    <xf numFmtId="0" fontId="21" fillId="0" borderId="0" xfId="0" applyFont="1"/>
    <xf numFmtId="0" fontId="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5" borderId="0" xfId="0" applyFont="1" applyFill="1"/>
    <xf numFmtId="0" fontId="21" fillId="7" borderId="0" xfId="0" applyFont="1" applyFill="1"/>
    <xf numFmtId="0" fontId="3" fillId="8" borderId="0" xfId="0" applyFont="1" applyFill="1"/>
    <xf numFmtId="0" fontId="24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5" fillId="0" borderId="14" xfId="0" applyFont="1" applyBorder="1" applyAlignment="1">
      <alignment horizontal="center"/>
    </xf>
    <xf numFmtId="0" fontId="19" fillId="2" borderId="14" xfId="0" applyFont="1" applyFill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3" fillId="0" borderId="14" xfId="0" applyFont="1" applyBorder="1"/>
    <xf numFmtId="1" fontId="0" fillId="0" borderId="16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14" fillId="0" borderId="0" xfId="0" applyFont="1"/>
    <xf numFmtId="0" fontId="5" fillId="0" borderId="5" xfId="0" applyFont="1" applyBorder="1"/>
    <xf numFmtId="0" fontId="25" fillId="0" borderId="16" xfId="0" applyFont="1" applyBorder="1" applyAlignment="1">
      <alignment horizontal="center" wrapText="1"/>
    </xf>
    <xf numFmtId="0" fontId="11" fillId="0" borderId="14" xfId="0" applyFont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19" fillId="2" borderId="16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0" fillId="6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11" fillId="8" borderId="17" xfId="0" applyFont="1" applyFill="1" applyBorder="1" applyAlignment="1">
      <alignment horizontal="center"/>
    </xf>
    <xf numFmtId="0" fontId="0" fillId="0" borderId="14" xfId="0" applyBorder="1" applyAlignment="1">
      <alignment wrapText="1"/>
    </xf>
    <xf numFmtId="1" fontId="1" fillId="2" borderId="19" xfId="0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" fillId="9" borderId="15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6" fillId="0" borderId="20" xfId="0" applyFont="1" applyBorder="1"/>
    <xf numFmtId="0" fontId="26" fillId="0" borderId="0" xfId="0" applyFont="1"/>
    <xf numFmtId="0" fontId="27" fillId="2" borderId="0" xfId="0" applyFont="1" applyFill="1"/>
    <xf numFmtId="0" fontId="1" fillId="0" borderId="14" xfId="0" applyFont="1" applyBorder="1"/>
    <xf numFmtId="0" fontId="16" fillId="0" borderId="14" xfId="0" applyFon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font>
        <b val="1"/>
        <i val="0"/>
        <color indexed="9"/>
      </font>
    </dxf>
    <dxf>
      <font>
        <b val="0"/>
        <color indexed="62"/>
      </font>
    </dxf>
    <dxf>
      <font>
        <b val="0"/>
        <color indexed="16"/>
      </font>
      <fill>
        <patternFill patternType="solid">
          <fgColor indexed="31"/>
          <bgColor indexed="47"/>
        </patternFill>
      </fill>
    </dxf>
    <dxf>
      <font>
        <b val="1"/>
        <i val="0"/>
        <color indexed="25"/>
      </font>
    </dxf>
    <dxf>
      <font>
        <b val="1"/>
        <i val="0"/>
        <color auto="1"/>
      </font>
      <fill>
        <patternFill patternType="none"/>
      </fill>
    </dxf>
  </dxfs>
  <tableStyles count="0" defaultTableStyle="TableStyleMedium2" defaultPivotStyle="PivotStyleLight16"/>
  <colors>
    <mruColors>
      <color rgb="00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COLEGIO-2021-SLG-ICA\018-REGISTROS\3ER-BIM-REG.AUXILIAR-JULIO%20SORIA-AGOSTO-SEPTIEMBRE-OCTUBRE-1RO-I-J-L-2DO-F-3RO-G-K-4TO-G-K-5-J-OK-FINAL-1.4-F-06-SE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5to J"/>
      <sheetName val="final 5-J"/>
      <sheetName val="ASIST-5J"/>
      <sheetName val="ASIST-5J-3ER-BIM"/>
      <sheetName val="3ER-BIM-EVID-5J"/>
      <sheetName val="EVID-5J"/>
      <sheetName val="4to G"/>
      <sheetName val="final-4-G"/>
      <sheetName val="2DO-BIM-final-4G"/>
      <sheetName val="ASIST-4G"/>
      <sheetName val="3ER-BIM-ASIT-4G"/>
      <sheetName val="3ER-BIM-EVID-4G"/>
      <sheetName val="EVID-4G"/>
      <sheetName val="4to K"/>
      <sheetName val="final-4-K"/>
      <sheetName val="2DO-BIM-final-4K"/>
      <sheetName val="ASIST-4K"/>
      <sheetName val="3ER-BIM-ASIST-4K"/>
      <sheetName val="3ER-BIM-EVID-4K"/>
      <sheetName val="EVID-4K"/>
      <sheetName val="3ro G"/>
      <sheetName val="3-G"/>
      <sheetName val="final-3ro-G"/>
      <sheetName val="ASIST-3G"/>
      <sheetName val="3ER-BIM-ASIST-3G"/>
      <sheetName val="3ER-BIM-EVID-3G"/>
      <sheetName val="EVID-3G"/>
      <sheetName val="3ro K"/>
      <sheetName val="3-K"/>
      <sheetName val="final-3ro-K"/>
      <sheetName val="ASIST-3K"/>
      <sheetName val="3ER-BIM-ASIST-3K"/>
      <sheetName val="3ER-BIM-EVID-3K"/>
      <sheetName val="EVID-3K"/>
      <sheetName val="2do F"/>
      <sheetName val="2-F"/>
      <sheetName val="final-2do-F"/>
      <sheetName val="ASIST-2F"/>
      <sheetName val="3ER-BIM-ASIST-2F"/>
      <sheetName val="3ER-BIM-EVID-2F"/>
      <sheetName val="EVID-2F"/>
      <sheetName val="1ro I"/>
      <sheetName val="1-I"/>
      <sheetName val="final-1ro-I"/>
      <sheetName val="ASIST-1I"/>
      <sheetName val="3ER-BIM-ASIST-1I"/>
      <sheetName val="3ER-BIM-EVID-1I"/>
      <sheetName val="EVID-1I"/>
      <sheetName val="1ro J"/>
      <sheetName val="1-J"/>
      <sheetName val="final-1ro-J"/>
      <sheetName val="ASIST-1J"/>
      <sheetName val="3ER-BIM-ASIST-1J"/>
      <sheetName val="3ER-BIM-EVID-1J"/>
      <sheetName val="EVID-1J"/>
      <sheetName val="1ro L"/>
      <sheetName val="1-L"/>
      <sheetName val="final-1-L"/>
      <sheetName val="ASIST-1L"/>
      <sheetName val="3ER-BIM-ASIST-1L"/>
      <sheetName val="3ER-BIM-EVID-1L"/>
      <sheetName val="EVIDE-1L"/>
    </sheetNames>
    <sheetDataSet>
      <sheetData sheetId="0"/>
      <sheetData sheetId="1"/>
      <sheetData sheetId="2">
        <row r="11">
          <cell r="A11" t="str">
            <v>01</v>
          </cell>
        </row>
        <row r="12">
          <cell r="A12" t="str">
            <v>02</v>
          </cell>
        </row>
        <row r="13">
          <cell r="A13" t="str">
            <v>03</v>
          </cell>
        </row>
        <row r="14">
          <cell r="A14" t="str">
            <v>04</v>
          </cell>
        </row>
        <row r="15">
          <cell r="A15" t="str">
            <v>05</v>
          </cell>
        </row>
        <row r="16">
          <cell r="A16" t="str">
            <v>06</v>
          </cell>
        </row>
        <row r="17">
          <cell r="A17" t="str">
            <v>07</v>
          </cell>
        </row>
        <row r="18">
          <cell r="A18" t="str">
            <v>08</v>
          </cell>
        </row>
        <row r="19">
          <cell r="A19" t="str">
            <v>09</v>
          </cell>
        </row>
        <row r="20">
          <cell r="A20" t="str">
            <v>10</v>
          </cell>
        </row>
        <row r="21">
          <cell r="A21" t="str">
            <v>11</v>
          </cell>
        </row>
        <row r="22">
          <cell r="A22" t="str">
            <v>12</v>
          </cell>
        </row>
        <row r="23">
          <cell r="A23" t="str">
            <v>13</v>
          </cell>
        </row>
        <row r="24">
          <cell r="A24" t="str">
            <v>14</v>
          </cell>
        </row>
        <row r="25">
          <cell r="A25" t="str">
            <v>15</v>
          </cell>
        </row>
        <row r="26">
          <cell r="A26" t="str">
            <v>16</v>
          </cell>
        </row>
        <row r="27">
          <cell r="A27" t="str">
            <v>17</v>
          </cell>
        </row>
        <row r="28">
          <cell r="A28" t="str">
            <v>18</v>
          </cell>
        </row>
        <row r="29">
          <cell r="A29" t="str">
            <v>19</v>
          </cell>
        </row>
        <row r="30">
          <cell r="A30" t="str">
            <v>20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2"/>
  <sheetViews>
    <sheetView topLeftCell="A2" workbookViewId="0">
      <selection activeCell="D22" sqref="D22"/>
    </sheetView>
  </sheetViews>
  <sheetFormatPr defaultColWidth="11" defaultRowHeight="15" outlineLevelCol="3"/>
  <cols>
    <col min="1" max="1" width="4.24761904761905" customWidth="1"/>
    <col min="2" max="3" width="43.247619047619" customWidth="1"/>
    <col min="4" max="4" width="53.8761904761905" customWidth="1"/>
  </cols>
  <sheetData>
    <row r="2" spans="2:4">
      <c r="B2" t="s">
        <v>0</v>
      </c>
      <c r="C2" t="s">
        <v>1</v>
      </c>
      <c r="D2" t="s">
        <v>2</v>
      </c>
    </row>
    <row r="5" ht="18.75" spans="2:4">
      <c r="B5" s="96" t="s">
        <v>3</v>
      </c>
      <c r="C5" s="97" t="s">
        <v>4</v>
      </c>
      <c r="D5" s="96" t="s">
        <v>5</v>
      </c>
    </row>
    <row r="6" spans="1:4">
      <c r="A6" s="41">
        <v>1</v>
      </c>
      <c r="B6" s="98" t="s">
        <v>6</v>
      </c>
      <c r="C6" s="98" t="s">
        <v>7</v>
      </c>
      <c r="D6" s="98" t="s">
        <v>8</v>
      </c>
    </row>
    <row r="7" spans="1:4">
      <c r="A7" s="41">
        <v>2</v>
      </c>
      <c r="B7" s="98" t="s">
        <v>9</v>
      </c>
      <c r="C7" s="98" t="s">
        <v>10</v>
      </c>
      <c r="D7" s="98" t="s">
        <v>11</v>
      </c>
    </row>
    <row r="8" spans="1:4">
      <c r="A8" s="41">
        <v>3</v>
      </c>
      <c r="B8" s="98" t="s">
        <v>12</v>
      </c>
      <c r="C8" s="98" t="s">
        <v>13</v>
      </c>
      <c r="D8" s="98" t="s">
        <v>14</v>
      </c>
    </row>
    <row r="9" spans="1:4">
      <c r="A9" s="41">
        <v>4</v>
      </c>
      <c r="B9" s="98" t="s">
        <v>15</v>
      </c>
      <c r="C9" s="98" t="s">
        <v>16</v>
      </c>
      <c r="D9" s="98" t="s">
        <v>17</v>
      </c>
    </row>
    <row r="10" spans="1:4">
      <c r="A10" s="41">
        <v>5</v>
      </c>
      <c r="B10" s="98" t="s">
        <v>18</v>
      </c>
      <c r="C10" s="98" t="s">
        <v>19</v>
      </c>
      <c r="D10" s="98" t="s">
        <v>20</v>
      </c>
    </row>
    <row r="11" spans="1:4">
      <c r="A11" s="41">
        <v>6</v>
      </c>
      <c r="B11" s="98" t="s">
        <v>21</v>
      </c>
      <c r="C11" s="98" t="s">
        <v>22</v>
      </c>
      <c r="D11" s="98" t="s">
        <v>23</v>
      </c>
    </row>
    <row r="12" spans="1:4">
      <c r="A12" s="41">
        <v>7</v>
      </c>
      <c r="B12" s="98" t="s">
        <v>24</v>
      </c>
      <c r="C12" s="98" t="s">
        <v>25</v>
      </c>
      <c r="D12" s="98" t="s">
        <v>26</v>
      </c>
    </row>
    <row r="13" spans="1:4">
      <c r="A13" s="41">
        <v>8</v>
      </c>
      <c r="B13" s="98" t="s">
        <v>27</v>
      </c>
      <c r="C13" s="98" t="s">
        <v>28</v>
      </c>
      <c r="D13" s="98" t="s">
        <v>29</v>
      </c>
    </row>
    <row r="14" spans="1:4">
      <c r="A14" s="41">
        <v>9</v>
      </c>
      <c r="B14" s="98" t="s">
        <v>30</v>
      </c>
      <c r="C14" s="98" t="s">
        <v>31</v>
      </c>
      <c r="D14" s="98" t="s">
        <v>32</v>
      </c>
    </row>
    <row r="15" spans="1:4">
      <c r="A15" s="41">
        <v>10</v>
      </c>
      <c r="B15" s="98" t="s">
        <v>33</v>
      </c>
      <c r="C15" s="98" t="s">
        <v>34</v>
      </c>
      <c r="D15" s="98" t="s">
        <v>35</v>
      </c>
    </row>
    <row r="16" spans="1:4">
      <c r="A16" s="41">
        <v>11</v>
      </c>
      <c r="B16" s="98" t="s">
        <v>36</v>
      </c>
      <c r="C16" s="98" t="s">
        <v>37</v>
      </c>
      <c r="D16" s="98" t="s">
        <v>38</v>
      </c>
    </row>
    <row r="17" spans="1:4">
      <c r="A17" s="41">
        <v>12</v>
      </c>
      <c r="B17" s="98" t="s">
        <v>39</v>
      </c>
      <c r="C17" s="98" t="s">
        <v>40</v>
      </c>
      <c r="D17" s="98" t="s">
        <v>41</v>
      </c>
    </row>
    <row r="18" spans="1:4">
      <c r="A18" s="41">
        <v>13</v>
      </c>
      <c r="B18" s="98" t="s">
        <v>42</v>
      </c>
      <c r="C18" s="99" t="s">
        <v>43</v>
      </c>
      <c r="D18" s="100"/>
    </row>
    <row r="19" spans="1:4">
      <c r="A19" s="41">
        <v>14</v>
      </c>
      <c r="B19" s="98" t="s">
        <v>44</v>
      </c>
      <c r="C19" s="98" t="s">
        <v>45</v>
      </c>
      <c r="D19" s="49"/>
    </row>
    <row r="20" spans="1:4">
      <c r="A20" s="41">
        <v>15</v>
      </c>
      <c r="B20" s="49"/>
      <c r="C20" s="98" t="s">
        <v>46</v>
      </c>
      <c r="D20" s="49"/>
    </row>
    <row r="21" spans="1:4">
      <c r="A21" s="41">
        <v>16</v>
      </c>
      <c r="B21" s="101"/>
      <c r="C21" s="99" t="s">
        <v>47</v>
      </c>
      <c r="D21" s="49"/>
    </row>
    <row r="22" spans="1:4">
      <c r="A22" s="41">
        <v>17</v>
      </c>
      <c r="B22" s="101"/>
      <c r="C22" s="101"/>
      <c r="D22" s="101"/>
    </row>
    <row r="23" spans="1:4">
      <c r="A23" s="41">
        <v>18</v>
      </c>
      <c r="B23" s="101"/>
      <c r="C23" s="101"/>
      <c r="D23" s="101"/>
    </row>
    <row r="24" spans="1:4">
      <c r="A24" s="41">
        <v>19</v>
      </c>
      <c r="B24" s="41"/>
      <c r="C24" s="41"/>
      <c r="D24" s="41"/>
    </row>
    <row r="25" spans="1:4">
      <c r="A25" s="41">
        <v>20</v>
      </c>
      <c r="B25" s="41"/>
      <c r="C25" s="41"/>
      <c r="D25" s="41"/>
    </row>
    <row r="26" spans="1:4">
      <c r="A26" s="41">
        <v>21</v>
      </c>
      <c r="B26" s="41"/>
      <c r="C26" s="41"/>
      <c r="D26" s="41"/>
    </row>
    <row r="27" spans="1:4">
      <c r="A27" s="41">
        <v>22</v>
      </c>
      <c r="B27" s="41"/>
      <c r="C27" s="41"/>
      <c r="D27" s="41"/>
    </row>
    <row r="28" spans="1:4">
      <c r="A28" s="41">
        <v>23</v>
      </c>
      <c r="B28" s="41"/>
      <c r="C28" s="41"/>
      <c r="D28" s="41"/>
    </row>
    <row r="29" spans="1:4">
      <c r="A29" s="41">
        <v>24</v>
      </c>
      <c r="B29" s="41"/>
      <c r="C29" s="102"/>
      <c r="D29" s="41"/>
    </row>
    <row r="30" spans="1:4">
      <c r="A30" s="41">
        <v>25</v>
      </c>
      <c r="B30" s="41"/>
      <c r="C30" s="41"/>
      <c r="D30" s="41"/>
    </row>
    <row r="31" spans="1:4">
      <c r="A31" s="41">
        <v>26</v>
      </c>
      <c r="B31" s="41"/>
      <c r="C31" s="41"/>
      <c r="D31" s="41"/>
    </row>
    <row r="32" spans="1:4">
      <c r="A32" s="41">
        <v>27</v>
      </c>
      <c r="B32" s="41"/>
      <c r="C32" s="41"/>
      <c r="D32" s="41"/>
    </row>
    <row r="33" spans="1:4">
      <c r="A33" s="41">
        <v>28</v>
      </c>
      <c r="B33" s="41"/>
      <c r="C33" s="41"/>
      <c r="D33" s="41"/>
    </row>
    <row r="34" spans="1:4">
      <c r="A34" s="41">
        <v>29</v>
      </c>
      <c r="B34" s="41"/>
      <c r="C34" s="41"/>
      <c r="D34" s="41"/>
    </row>
    <row r="35" spans="1:4">
      <c r="A35" s="41">
        <v>30</v>
      </c>
      <c r="B35" s="41"/>
      <c r="C35" s="41"/>
      <c r="D35" s="41"/>
    </row>
    <row r="36" spans="1:4">
      <c r="A36" s="41">
        <v>31</v>
      </c>
      <c r="B36" s="41"/>
      <c r="C36" s="41"/>
      <c r="D36" s="41"/>
    </row>
    <row r="37" spans="1:4">
      <c r="A37" s="41">
        <v>32</v>
      </c>
      <c r="B37" s="41"/>
      <c r="C37" s="41"/>
      <c r="D37" s="41"/>
    </row>
    <row r="38" spans="1:4">
      <c r="A38" s="41">
        <v>33</v>
      </c>
      <c r="B38" s="41"/>
      <c r="C38" s="41"/>
      <c r="D38" s="41"/>
    </row>
    <row r="39" spans="1:4">
      <c r="A39" s="41">
        <v>34</v>
      </c>
      <c r="B39" s="41"/>
      <c r="C39" s="41"/>
      <c r="D39" s="41"/>
    </row>
    <row r="40" spans="1:4">
      <c r="A40" s="41">
        <v>35</v>
      </c>
      <c r="B40" s="41"/>
      <c r="C40" s="41"/>
      <c r="D40" s="41"/>
    </row>
    <row r="41" spans="1:4">
      <c r="A41" s="41">
        <v>36</v>
      </c>
      <c r="B41" s="41"/>
      <c r="C41" s="41"/>
      <c r="D41" s="41"/>
    </row>
    <row r="42" spans="1:4">
      <c r="A42" s="41">
        <v>37</v>
      </c>
      <c r="B42" s="41"/>
      <c r="C42" s="41"/>
      <c r="D42" s="41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8"/>
  <sheetViews>
    <sheetView topLeftCell="A49" workbookViewId="0">
      <pane xSplit="4" ySplit="1" topLeftCell="AF54" activePane="bottomRight" state="frozen"/>
      <selection/>
      <selection pane="topRight"/>
      <selection pane="bottomLeft"/>
      <selection pane="bottomRight" activeCell="AO55" sqref="AO55:AO68"/>
    </sheetView>
  </sheetViews>
  <sheetFormatPr defaultColWidth="10.752380952381" defaultRowHeight="13.5" customHeight="1"/>
  <cols>
    <col min="1" max="1" width="3.87619047619048" customWidth="1"/>
    <col min="2" max="2" width="41.1238095238095" customWidth="1"/>
    <col min="3" max="3" width="16.3714285714286" hidden="1" customWidth="1"/>
    <col min="4" max="4" width="13.752380952381" hidden="1" customWidth="1"/>
    <col min="5" max="5" width="9.12380952380952" style="3" customWidth="1"/>
    <col min="6" max="6" width="11.1238095238095" style="3" customWidth="1"/>
    <col min="7" max="7" width="9.12380952380952" customWidth="1"/>
    <col min="8" max="8" width="9.12380952380952" style="3" customWidth="1"/>
    <col min="9" max="9" width="10" style="3" customWidth="1"/>
    <col min="10" max="10" width="9.12380952380952" style="3" customWidth="1"/>
    <col min="11" max="35" width="9.12380952380952" customWidth="1"/>
    <col min="40" max="40" width="12.8761904761905"/>
  </cols>
  <sheetData>
    <row r="1" ht="15" hidden="1" spans="1:35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6"/>
    </row>
    <row r="2" ht="16.5" hidden="1" customHeight="1" spans="1:35">
      <c r="A2" s="6" t="s">
        <v>49</v>
      </c>
      <c r="B2" s="7"/>
      <c r="C2" s="81"/>
      <c r="D2" s="8" t="s">
        <v>50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54" t="s">
        <v>51</v>
      </c>
      <c r="AA2" s="54"/>
      <c r="AB2" s="54"/>
      <c r="AC2" s="54"/>
      <c r="AD2" s="54"/>
      <c r="AE2" s="54"/>
      <c r="AF2" s="54" t="s">
        <v>51</v>
      </c>
      <c r="AG2" s="54"/>
      <c r="AH2" s="54"/>
      <c r="AI2" s="87"/>
    </row>
    <row r="3" ht="40.5" hidden="1" customHeight="1" spans="1:35">
      <c r="A3" s="6"/>
      <c r="B3" s="11"/>
      <c r="D3" s="12" t="s">
        <v>52</v>
      </c>
      <c r="E3" s="14"/>
      <c r="F3" s="14"/>
      <c r="G3" s="15"/>
      <c r="H3" s="16" t="s">
        <v>53</v>
      </c>
      <c r="I3" s="14"/>
      <c r="J3" s="14"/>
      <c r="K3" s="15"/>
      <c r="L3" s="16" t="s">
        <v>54</v>
      </c>
      <c r="M3" s="14"/>
      <c r="N3" s="14"/>
      <c r="O3" s="15"/>
      <c r="P3" s="16" t="s">
        <v>55</v>
      </c>
      <c r="Q3" s="14"/>
      <c r="R3" s="14"/>
      <c r="S3" s="15"/>
      <c r="T3" s="16" t="s">
        <v>56</v>
      </c>
      <c r="U3" s="14"/>
      <c r="V3" s="14"/>
      <c r="W3" s="16" t="s">
        <v>57</v>
      </c>
      <c r="X3" s="14"/>
      <c r="Y3" s="14"/>
      <c r="Z3" s="55" t="s">
        <v>58</v>
      </c>
      <c r="AA3" s="55" t="s">
        <v>59</v>
      </c>
      <c r="AB3" s="55" t="s">
        <v>60</v>
      </c>
      <c r="AC3" s="55" t="s">
        <v>61</v>
      </c>
      <c r="AD3" s="55" t="s">
        <v>61</v>
      </c>
      <c r="AE3" s="55" t="s">
        <v>61</v>
      </c>
      <c r="AF3" s="55" t="s">
        <v>58</v>
      </c>
      <c r="AG3" s="55" t="s">
        <v>59</v>
      </c>
      <c r="AH3" s="55" t="s">
        <v>60</v>
      </c>
      <c r="AI3" s="88"/>
    </row>
    <row r="4" ht="21.95" hidden="1" customHeight="1" spans="1:35">
      <c r="A4" s="6"/>
      <c r="B4" s="17" t="s">
        <v>62</v>
      </c>
      <c r="C4" s="17"/>
      <c r="D4" s="17"/>
      <c r="E4" s="18" t="s">
        <v>63</v>
      </c>
      <c r="F4" s="19"/>
      <c r="G4" s="20" t="s">
        <v>64</v>
      </c>
      <c r="H4" s="18" t="s">
        <v>65</v>
      </c>
      <c r="I4" s="18" t="s">
        <v>66</v>
      </c>
      <c r="J4" s="18" t="s">
        <v>67</v>
      </c>
      <c r="K4" s="20" t="s">
        <v>68</v>
      </c>
      <c r="L4" s="18" t="s">
        <v>69</v>
      </c>
      <c r="M4" s="18" t="s">
        <v>70</v>
      </c>
      <c r="N4" s="19"/>
      <c r="O4" s="20" t="s">
        <v>71</v>
      </c>
      <c r="P4" s="18" t="s">
        <v>72</v>
      </c>
      <c r="Q4" s="18" t="s">
        <v>73</v>
      </c>
      <c r="R4" s="19"/>
      <c r="S4" s="20" t="s">
        <v>74</v>
      </c>
      <c r="T4" s="18" t="s">
        <v>75</v>
      </c>
      <c r="U4" s="19"/>
      <c r="V4" s="19"/>
      <c r="W4" s="18" t="s">
        <v>76</v>
      </c>
      <c r="X4" s="19"/>
      <c r="Y4" s="19"/>
      <c r="Z4" s="55"/>
      <c r="AA4" s="55"/>
      <c r="AB4" s="55"/>
      <c r="AC4" s="55"/>
      <c r="AD4" s="55"/>
      <c r="AE4" s="55"/>
      <c r="AF4" s="55"/>
      <c r="AG4" s="55"/>
      <c r="AH4" s="55"/>
      <c r="AI4" s="88"/>
    </row>
    <row r="5" ht="21.95" hidden="1" customHeight="1" spans="1:35">
      <c r="A5" s="6"/>
      <c r="B5" s="21" t="s">
        <v>77</v>
      </c>
      <c r="C5" s="21"/>
      <c r="D5" s="21"/>
      <c r="E5" s="22"/>
      <c r="F5" s="23"/>
      <c r="G5" s="24"/>
      <c r="H5" s="22"/>
      <c r="I5" s="22"/>
      <c r="J5" s="22"/>
      <c r="K5" s="24"/>
      <c r="L5" s="22"/>
      <c r="M5" s="22"/>
      <c r="N5" s="23"/>
      <c r="O5" s="24"/>
      <c r="P5" s="22"/>
      <c r="Q5" s="22"/>
      <c r="R5" s="23"/>
      <c r="S5" s="24"/>
      <c r="T5" s="22"/>
      <c r="U5" s="23"/>
      <c r="V5" s="23"/>
      <c r="W5" s="22"/>
      <c r="X5" s="23"/>
      <c r="Y5" s="23"/>
      <c r="Z5" s="55"/>
      <c r="AA5" s="55"/>
      <c r="AB5" s="55"/>
      <c r="AC5" s="55"/>
      <c r="AD5" s="55"/>
      <c r="AE5" s="55"/>
      <c r="AF5" s="55"/>
      <c r="AG5" s="55"/>
      <c r="AH5" s="55"/>
      <c r="AI5" s="88"/>
    </row>
    <row r="6" ht="17.25" hidden="1" customHeight="1" spans="1:35">
      <c r="A6" s="6"/>
      <c r="B6" s="21" t="s">
        <v>78</v>
      </c>
      <c r="C6" s="21"/>
      <c r="D6" s="21"/>
      <c r="E6" s="22"/>
      <c r="F6" s="23"/>
      <c r="G6" s="24"/>
      <c r="H6" s="22"/>
      <c r="I6" s="22"/>
      <c r="J6" s="22"/>
      <c r="K6" s="24"/>
      <c r="L6" s="22"/>
      <c r="M6" s="22"/>
      <c r="N6" s="23"/>
      <c r="O6" s="24"/>
      <c r="P6" s="22"/>
      <c r="Q6" s="22"/>
      <c r="R6" s="23"/>
      <c r="S6" s="24"/>
      <c r="T6" s="22"/>
      <c r="U6" s="23"/>
      <c r="V6" s="23"/>
      <c r="W6" s="22"/>
      <c r="X6" s="23"/>
      <c r="Y6" s="23"/>
      <c r="Z6" s="55"/>
      <c r="AA6" s="55"/>
      <c r="AB6" s="55"/>
      <c r="AC6" s="55"/>
      <c r="AD6" s="55"/>
      <c r="AE6" s="55"/>
      <c r="AF6" s="55"/>
      <c r="AG6" s="55"/>
      <c r="AH6" s="55"/>
      <c r="AI6" s="88"/>
    </row>
    <row r="7" ht="18.75" hidden="1" customHeight="1" spans="1:35">
      <c r="A7" s="6"/>
      <c r="B7" s="21" t="s">
        <v>79</v>
      </c>
      <c r="C7" s="21"/>
      <c r="D7" s="21"/>
      <c r="E7" s="22"/>
      <c r="F7" s="23"/>
      <c r="G7" s="24"/>
      <c r="H7" s="22"/>
      <c r="I7" s="22"/>
      <c r="J7" s="22"/>
      <c r="K7" s="24"/>
      <c r="L7" s="22"/>
      <c r="M7" s="22"/>
      <c r="N7" s="23"/>
      <c r="O7" s="24"/>
      <c r="P7" s="22"/>
      <c r="Q7" s="22"/>
      <c r="R7" s="23"/>
      <c r="S7" s="24"/>
      <c r="T7" s="22"/>
      <c r="U7" s="23"/>
      <c r="V7" s="23"/>
      <c r="W7" s="22"/>
      <c r="X7" s="23"/>
      <c r="Y7" s="23"/>
      <c r="Z7" s="55"/>
      <c r="AA7" s="55"/>
      <c r="AB7" s="55"/>
      <c r="AC7" s="55"/>
      <c r="AD7" s="55"/>
      <c r="AE7" s="55"/>
      <c r="AF7" s="55"/>
      <c r="AG7" s="55"/>
      <c r="AH7" s="55"/>
      <c r="AI7" s="88"/>
    </row>
    <row r="8" ht="20.25" hidden="1" customHeight="1" spans="1:35">
      <c r="A8" s="6"/>
      <c r="B8" s="25" t="s">
        <v>80</v>
      </c>
      <c r="C8" s="25"/>
      <c r="D8" s="25"/>
      <c r="E8" s="22"/>
      <c r="F8" s="23"/>
      <c r="G8" s="24"/>
      <c r="H8" s="22"/>
      <c r="I8" s="22"/>
      <c r="J8" s="22"/>
      <c r="K8" s="24"/>
      <c r="L8" s="22"/>
      <c r="M8" s="22"/>
      <c r="N8" s="23"/>
      <c r="O8" s="24"/>
      <c r="P8" s="22"/>
      <c r="Q8" s="22"/>
      <c r="R8" s="23"/>
      <c r="S8" s="24"/>
      <c r="T8" s="22"/>
      <c r="U8" s="23"/>
      <c r="V8" s="23"/>
      <c r="W8" s="22"/>
      <c r="X8" s="23"/>
      <c r="Y8" s="23"/>
      <c r="Z8" s="55"/>
      <c r="AA8" s="55"/>
      <c r="AB8" s="55"/>
      <c r="AC8" s="55"/>
      <c r="AD8" s="55"/>
      <c r="AE8" s="55"/>
      <c r="AF8" s="55"/>
      <c r="AG8" s="55"/>
      <c r="AH8" s="55"/>
      <c r="AI8" s="88"/>
    </row>
    <row r="9" ht="11.25" hidden="1" customHeight="1" spans="1:35">
      <c r="A9" s="6"/>
      <c r="B9" s="26" t="s">
        <v>81</v>
      </c>
      <c r="C9" s="26"/>
      <c r="D9" s="26"/>
      <c r="E9" s="22"/>
      <c r="F9" s="23"/>
      <c r="G9" s="24"/>
      <c r="H9" s="22"/>
      <c r="I9" s="22"/>
      <c r="J9" s="22"/>
      <c r="K9" s="24"/>
      <c r="L9" s="22"/>
      <c r="M9" s="22"/>
      <c r="N9" s="23"/>
      <c r="O9" s="24"/>
      <c r="P9" s="22"/>
      <c r="Q9" s="22"/>
      <c r="R9" s="23"/>
      <c r="S9" s="24"/>
      <c r="T9" s="22"/>
      <c r="U9" s="23"/>
      <c r="V9" s="23"/>
      <c r="W9" s="22"/>
      <c r="X9" s="23"/>
      <c r="Y9" s="23"/>
      <c r="Z9" s="55"/>
      <c r="AA9" s="55"/>
      <c r="AB9" s="55"/>
      <c r="AC9" s="55"/>
      <c r="AD9" s="55"/>
      <c r="AE9" s="55"/>
      <c r="AF9" s="55"/>
      <c r="AG9" s="55"/>
      <c r="AH9" s="55"/>
      <c r="AI9" s="88"/>
    </row>
    <row r="10" ht="15" hidden="1" spans="1:35">
      <c r="A10" s="6"/>
      <c r="B10" s="26"/>
      <c r="C10" s="26"/>
      <c r="D10" s="26"/>
      <c r="E10" s="28"/>
      <c r="F10" s="29"/>
      <c r="G10" s="30"/>
      <c r="H10" s="28"/>
      <c r="I10" s="28"/>
      <c r="J10" s="28"/>
      <c r="K10" s="30"/>
      <c r="L10" s="28"/>
      <c r="M10" s="28"/>
      <c r="N10" s="29"/>
      <c r="O10" s="30"/>
      <c r="P10" s="28"/>
      <c r="Q10" s="28"/>
      <c r="R10" s="29"/>
      <c r="S10" s="30"/>
      <c r="T10" s="28"/>
      <c r="U10" s="29"/>
      <c r="V10" s="29"/>
      <c r="W10" s="28"/>
      <c r="X10" s="29"/>
      <c r="Y10" s="29"/>
      <c r="Z10" s="55"/>
      <c r="AA10" s="55"/>
      <c r="AB10" s="55"/>
      <c r="AC10" s="55"/>
      <c r="AD10" s="55"/>
      <c r="AE10" s="55"/>
      <c r="AF10" s="55"/>
      <c r="AG10" s="55"/>
      <c r="AH10" s="55"/>
      <c r="AI10" s="88"/>
    </row>
    <row r="11" ht="12" hidden="1" customHeight="1" spans="1:35">
      <c r="A11" s="31" t="s">
        <v>82</v>
      </c>
      <c r="B11" s="32"/>
      <c r="C11" s="32"/>
      <c r="D11" s="32"/>
      <c r="E11" s="33">
        <v>16</v>
      </c>
      <c r="F11" s="33"/>
      <c r="G11" s="33">
        <f t="shared" ref="G11:G43" si="0">ROUND(AVERAGE(E11:F11),0)</f>
        <v>16</v>
      </c>
      <c r="H11" s="33"/>
      <c r="I11" s="33"/>
      <c r="J11" s="33"/>
      <c r="K11" s="33" t="e">
        <f t="shared" ref="K11:K43" si="1">ROUND(AVERAGE(H11:J11),0)</f>
        <v>#DIV/0!</v>
      </c>
      <c r="L11" s="33"/>
      <c r="M11" s="33"/>
      <c r="N11" s="33"/>
      <c r="O11" s="33" t="e">
        <f t="shared" ref="O11:O43" si="2">ROUND(AVERAGE(L11:N11),)</f>
        <v>#DIV/0!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>
        <f t="shared" ref="Z11:Z43" si="3">G11</f>
        <v>16</v>
      </c>
      <c r="AA11" s="33" t="e">
        <f t="shared" ref="AA11:AA43" si="4">K11</f>
        <v>#DIV/0!</v>
      </c>
      <c r="AB11" s="33" t="e">
        <f t="shared" ref="AB11:AB43" si="5">O11</f>
        <v>#DIV/0!</v>
      </c>
      <c r="AC11" s="33"/>
      <c r="AD11" s="33"/>
      <c r="AE11" s="33" t="e">
        <f>#REF!</f>
        <v>#REF!</v>
      </c>
      <c r="AF11" s="33">
        <f t="shared" ref="AF11:AF43" si="6">M11</f>
        <v>0</v>
      </c>
      <c r="AG11" s="33">
        <f t="shared" ref="AG11:AG43" si="7">Q11</f>
        <v>0</v>
      </c>
      <c r="AH11" s="33">
        <f t="shared" ref="AH11:AH43" si="8">U11</f>
        <v>0</v>
      </c>
      <c r="AI11" s="34"/>
    </row>
    <row r="12" ht="12" hidden="1" customHeight="1" spans="1:35">
      <c r="A12" s="31" t="s">
        <v>83</v>
      </c>
      <c r="B12" s="32"/>
      <c r="C12" s="32"/>
      <c r="D12" s="32"/>
      <c r="E12" s="33"/>
      <c r="F12" s="33"/>
      <c r="G12" s="33" t="e">
        <f t="shared" si="0"/>
        <v>#DIV/0!</v>
      </c>
      <c r="H12" s="33"/>
      <c r="I12" s="33"/>
      <c r="J12" s="33"/>
      <c r="K12" s="33" t="e">
        <f t="shared" si="1"/>
        <v>#DIV/0!</v>
      </c>
      <c r="L12" s="33"/>
      <c r="M12" s="33"/>
      <c r="N12" s="33"/>
      <c r="O12" s="33" t="e">
        <f t="shared" si="2"/>
        <v>#DIV/0!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 t="e">
        <f t="shared" si="3"/>
        <v>#DIV/0!</v>
      </c>
      <c r="AA12" s="33" t="e">
        <f t="shared" si="4"/>
        <v>#DIV/0!</v>
      </c>
      <c r="AB12" s="33" t="e">
        <f t="shared" si="5"/>
        <v>#DIV/0!</v>
      </c>
      <c r="AC12" s="33"/>
      <c r="AD12" s="33"/>
      <c r="AE12" s="33" t="e">
        <f>#REF!</f>
        <v>#REF!</v>
      </c>
      <c r="AF12" s="33">
        <f t="shared" si="6"/>
        <v>0</v>
      </c>
      <c r="AG12" s="33">
        <f t="shared" si="7"/>
        <v>0</v>
      </c>
      <c r="AH12" s="33">
        <f t="shared" si="8"/>
        <v>0</v>
      </c>
      <c r="AI12" s="34"/>
    </row>
    <row r="13" ht="12" hidden="1" customHeight="1" spans="1:35">
      <c r="A13" s="31" t="s">
        <v>84</v>
      </c>
      <c r="B13" s="32"/>
      <c r="C13" s="32"/>
      <c r="D13" s="32"/>
      <c r="E13" s="33"/>
      <c r="F13" s="33"/>
      <c r="G13" s="33" t="e">
        <f t="shared" si="0"/>
        <v>#DIV/0!</v>
      </c>
      <c r="H13" s="33"/>
      <c r="I13" s="33"/>
      <c r="J13" s="33"/>
      <c r="K13" s="33" t="e">
        <f t="shared" si="1"/>
        <v>#DIV/0!</v>
      </c>
      <c r="L13" s="33"/>
      <c r="M13" s="33"/>
      <c r="N13" s="33"/>
      <c r="O13" s="33" t="e">
        <f t="shared" si="2"/>
        <v>#DIV/0!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 t="e">
        <f t="shared" si="3"/>
        <v>#DIV/0!</v>
      </c>
      <c r="AA13" s="33" t="e">
        <f t="shared" si="4"/>
        <v>#DIV/0!</v>
      </c>
      <c r="AB13" s="33" t="e">
        <f t="shared" si="5"/>
        <v>#DIV/0!</v>
      </c>
      <c r="AC13" s="33"/>
      <c r="AD13" s="33"/>
      <c r="AE13" s="33" t="e">
        <f>#REF!</f>
        <v>#REF!</v>
      </c>
      <c r="AF13" s="33">
        <f t="shared" si="6"/>
        <v>0</v>
      </c>
      <c r="AG13" s="33">
        <f t="shared" si="7"/>
        <v>0</v>
      </c>
      <c r="AH13" s="33">
        <f t="shared" si="8"/>
        <v>0</v>
      </c>
      <c r="AI13" s="34"/>
    </row>
    <row r="14" ht="12" hidden="1" customHeight="1" spans="1:35">
      <c r="A14" s="31" t="s">
        <v>85</v>
      </c>
      <c r="B14" s="32"/>
      <c r="C14" s="32"/>
      <c r="D14" s="32"/>
      <c r="E14" s="33"/>
      <c r="F14" s="33"/>
      <c r="G14" s="33" t="e">
        <f t="shared" si="0"/>
        <v>#DIV/0!</v>
      </c>
      <c r="H14" s="33"/>
      <c r="I14" s="33"/>
      <c r="J14" s="33"/>
      <c r="K14" s="33" t="e">
        <f t="shared" si="1"/>
        <v>#DIV/0!</v>
      </c>
      <c r="L14" s="33"/>
      <c r="M14" s="33"/>
      <c r="N14" s="33"/>
      <c r="O14" s="33" t="e">
        <f t="shared" si="2"/>
        <v>#DIV/0!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 t="e">
        <f t="shared" si="3"/>
        <v>#DIV/0!</v>
      </c>
      <c r="AA14" s="33" t="e">
        <f t="shared" si="4"/>
        <v>#DIV/0!</v>
      </c>
      <c r="AB14" s="33" t="e">
        <f t="shared" si="5"/>
        <v>#DIV/0!</v>
      </c>
      <c r="AC14" s="33"/>
      <c r="AD14" s="33"/>
      <c r="AE14" s="33" t="e">
        <f>#REF!</f>
        <v>#REF!</v>
      </c>
      <c r="AF14" s="33">
        <f t="shared" si="6"/>
        <v>0</v>
      </c>
      <c r="AG14" s="33">
        <f t="shared" si="7"/>
        <v>0</v>
      </c>
      <c r="AH14" s="33">
        <f t="shared" si="8"/>
        <v>0</v>
      </c>
      <c r="AI14" s="34"/>
    </row>
    <row r="15" ht="12" hidden="1" customHeight="1" spans="1:35">
      <c r="A15" s="31" t="s">
        <v>86</v>
      </c>
      <c r="B15" s="32"/>
      <c r="C15" s="32"/>
      <c r="D15" s="32"/>
      <c r="E15" s="33"/>
      <c r="F15" s="33"/>
      <c r="G15" s="33" t="e">
        <f t="shared" si="0"/>
        <v>#DIV/0!</v>
      </c>
      <c r="H15" s="33"/>
      <c r="I15" s="33"/>
      <c r="J15" s="33"/>
      <c r="K15" s="33" t="e">
        <f t="shared" si="1"/>
        <v>#DIV/0!</v>
      </c>
      <c r="L15" s="33"/>
      <c r="M15" s="33"/>
      <c r="N15" s="33"/>
      <c r="O15" s="33" t="e">
        <f t="shared" si="2"/>
        <v>#DIV/0!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 t="e">
        <f t="shared" si="3"/>
        <v>#DIV/0!</v>
      </c>
      <c r="AA15" s="33" t="e">
        <f t="shared" si="4"/>
        <v>#DIV/0!</v>
      </c>
      <c r="AB15" s="33" t="e">
        <f t="shared" si="5"/>
        <v>#DIV/0!</v>
      </c>
      <c r="AC15" s="33"/>
      <c r="AD15" s="33"/>
      <c r="AE15" s="33" t="e">
        <f>#REF!</f>
        <v>#REF!</v>
      </c>
      <c r="AF15" s="33">
        <f t="shared" si="6"/>
        <v>0</v>
      </c>
      <c r="AG15" s="33">
        <f t="shared" si="7"/>
        <v>0</v>
      </c>
      <c r="AH15" s="33">
        <f t="shared" si="8"/>
        <v>0</v>
      </c>
      <c r="AI15" s="34"/>
    </row>
    <row r="16" ht="12" hidden="1" customHeight="1" spans="1:35">
      <c r="A16" s="31" t="s">
        <v>87</v>
      </c>
      <c r="B16" s="32"/>
      <c r="C16" s="32"/>
      <c r="D16" s="32"/>
      <c r="E16" s="33"/>
      <c r="F16" s="33"/>
      <c r="G16" s="33" t="e">
        <f t="shared" si="0"/>
        <v>#DIV/0!</v>
      </c>
      <c r="H16" s="33"/>
      <c r="I16" s="33"/>
      <c r="J16" s="33"/>
      <c r="K16" s="33" t="e">
        <f t="shared" si="1"/>
        <v>#DIV/0!</v>
      </c>
      <c r="L16" s="33"/>
      <c r="M16" s="33"/>
      <c r="N16" s="33"/>
      <c r="O16" s="33" t="e">
        <f t="shared" si="2"/>
        <v>#DIV/0!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 t="e">
        <f t="shared" si="3"/>
        <v>#DIV/0!</v>
      </c>
      <c r="AA16" s="33" t="e">
        <f t="shared" si="4"/>
        <v>#DIV/0!</v>
      </c>
      <c r="AB16" s="33" t="e">
        <f t="shared" si="5"/>
        <v>#DIV/0!</v>
      </c>
      <c r="AC16" s="33"/>
      <c r="AD16" s="33"/>
      <c r="AE16" s="33" t="e">
        <f>#REF!</f>
        <v>#REF!</v>
      </c>
      <c r="AF16" s="33">
        <f t="shared" si="6"/>
        <v>0</v>
      </c>
      <c r="AG16" s="33">
        <f t="shared" si="7"/>
        <v>0</v>
      </c>
      <c r="AH16" s="33">
        <f t="shared" si="8"/>
        <v>0</v>
      </c>
      <c r="AI16" s="34"/>
    </row>
    <row r="17" ht="12" hidden="1" customHeight="1" spans="1:35">
      <c r="A17" s="31" t="s">
        <v>88</v>
      </c>
      <c r="B17" s="32"/>
      <c r="C17" s="32"/>
      <c r="D17" s="32"/>
      <c r="E17" s="33"/>
      <c r="F17" s="33"/>
      <c r="G17" s="33" t="e">
        <f t="shared" si="0"/>
        <v>#DIV/0!</v>
      </c>
      <c r="H17" s="33"/>
      <c r="I17" s="33"/>
      <c r="J17" s="33"/>
      <c r="K17" s="33" t="e">
        <f t="shared" si="1"/>
        <v>#DIV/0!</v>
      </c>
      <c r="L17" s="33"/>
      <c r="M17" s="33"/>
      <c r="N17" s="33"/>
      <c r="O17" s="33" t="e">
        <f t="shared" si="2"/>
        <v>#DIV/0!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 t="e">
        <f t="shared" si="3"/>
        <v>#DIV/0!</v>
      </c>
      <c r="AA17" s="33" t="e">
        <f t="shared" si="4"/>
        <v>#DIV/0!</v>
      </c>
      <c r="AB17" s="33" t="e">
        <f t="shared" si="5"/>
        <v>#DIV/0!</v>
      </c>
      <c r="AC17" s="33"/>
      <c r="AD17" s="33"/>
      <c r="AE17" s="33" t="e">
        <f>#REF!</f>
        <v>#REF!</v>
      </c>
      <c r="AF17" s="33">
        <f t="shared" si="6"/>
        <v>0</v>
      </c>
      <c r="AG17" s="33">
        <f t="shared" si="7"/>
        <v>0</v>
      </c>
      <c r="AH17" s="33">
        <f t="shared" si="8"/>
        <v>0</v>
      </c>
      <c r="AI17" s="34"/>
    </row>
    <row r="18" ht="12" hidden="1" customHeight="1" spans="1:35">
      <c r="A18" s="31" t="s">
        <v>89</v>
      </c>
      <c r="B18" s="32"/>
      <c r="C18" s="32"/>
      <c r="D18" s="32"/>
      <c r="E18" s="33"/>
      <c r="F18" s="33"/>
      <c r="G18" s="33" t="e">
        <f t="shared" si="0"/>
        <v>#DIV/0!</v>
      </c>
      <c r="H18" s="33"/>
      <c r="I18" s="33"/>
      <c r="J18" s="33"/>
      <c r="K18" s="33" t="e">
        <f t="shared" si="1"/>
        <v>#DIV/0!</v>
      </c>
      <c r="L18" s="33"/>
      <c r="M18" s="33"/>
      <c r="N18" s="33"/>
      <c r="O18" s="33" t="e">
        <f t="shared" si="2"/>
        <v>#DIV/0!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 t="e">
        <f t="shared" si="3"/>
        <v>#DIV/0!</v>
      </c>
      <c r="AA18" s="33" t="e">
        <f t="shared" si="4"/>
        <v>#DIV/0!</v>
      </c>
      <c r="AB18" s="33" t="e">
        <f t="shared" si="5"/>
        <v>#DIV/0!</v>
      </c>
      <c r="AC18" s="33"/>
      <c r="AD18" s="33"/>
      <c r="AE18" s="33" t="e">
        <f>#REF!</f>
        <v>#REF!</v>
      </c>
      <c r="AF18" s="33">
        <f t="shared" si="6"/>
        <v>0</v>
      </c>
      <c r="AG18" s="33">
        <f t="shared" si="7"/>
        <v>0</v>
      </c>
      <c r="AH18" s="33">
        <f t="shared" si="8"/>
        <v>0</v>
      </c>
      <c r="AI18" s="34"/>
    </row>
    <row r="19" ht="12" hidden="1" customHeight="1" spans="1:35">
      <c r="A19" s="31" t="s">
        <v>90</v>
      </c>
      <c r="B19" s="32"/>
      <c r="C19" s="32"/>
      <c r="D19" s="32"/>
      <c r="E19" s="33"/>
      <c r="F19" s="33"/>
      <c r="G19" s="33" t="e">
        <f t="shared" si="0"/>
        <v>#DIV/0!</v>
      </c>
      <c r="H19" s="33"/>
      <c r="I19" s="33"/>
      <c r="J19" s="33"/>
      <c r="K19" s="33" t="e">
        <f t="shared" si="1"/>
        <v>#DIV/0!</v>
      </c>
      <c r="L19" s="33"/>
      <c r="M19" s="33"/>
      <c r="N19" s="33"/>
      <c r="O19" s="33" t="e">
        <f t="shared" si="2"/>
        <v>#DIV/0!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 t="e">
        <f t="shared" si="3"/>
        <v>#DIV/0!</v>
      </c>
      <c r="AA19" s="33" t="e">
        <f t="shared" si="4"/>
        <v>#DIV/0!</v>
      </c>
      <c r="AB19" s="33" t="e">
        <f t="shared" si="5"/>
        <v>#DIV/0!</v>
      </c>
      <c r="AC19" s="33"/>
      <c r="AD19" s="33"/>
      <c r="AE19" s="33" t="e">
        <f>#REF!</f>
        <v>#REF!</v>
      </c>
      <c r="AF19" s="33">
        <f t="shared" si="6"/>
        <v>0</v>
      </c>
      <c r="AG19" s="33">
        <f t="shared" si="7"/>
        <v>0</v>
      </c>
      <c r="AH19" s="33">
        <f t="shared" si="8"/>
        <v>0</v>
      </c>
      <c r="AI19" s="34"/>
    </row>
    <row r="20" ht="12" hidden="1" customHeight="1" spans="1:35">
      <c r="A20" s="31" t="s">
        <v>91</v>
      </c>
      <c r="B20" s="32"/>
      <c r="C20" s="32"/>
      <c r="D20" s="32"/>
      <c r="E20" s="33"/>
      <c r="F20" s="33"/>
      <c r="G20" s="33" t="e">
        <f t="shared" si="0"/>
        <v>#DIV/0!</v>
      </c>
      <c r="H20" s="33"/>
      <c r="I20" s="33"/>
      <c r="J20" s="33"/>
      <c r="K20" s="33" t="e">
        <f t="shared" si="1"/>
        <v>#DIV/0!</v>
      </c>
      <c r="L20" s="33"/>
      <c r="M20" s="33"/>
      <c r="N20" s="33"/>
      <c r="O20" s="33" t="e">
        <f t="shared" si="2"/>
        <v>#DIV/0!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 t="e">
        <f t="shared" si="3"/>
        <v>#DIV/0!</v>
      </c>
      <c r="AA20" s="33" t="e">
        <f t="shared" si="4"/>
        <v>#DIV/0!</v>
      </c>
      <c r="AB20" s="33" t="e">
        <f t="shared" si="5"/>
        <v>#DIV/0!</v>
      </c>
      <c r="AC20" s="33"/>
      <c r="AD20" s="33"/>
      <c r="AE20" s="33" t="e">
        <f>#REF!</f>
        <v>#REF!</v>
      </c>
      <c r="AF20" s="33">
        <f t="shared" si="6"/>
        <v>0</v>
      </c>
      <c r="AG20" s="33">
        <f t="shared" si="7"/>
        <v>0</v>
      </c>
      <c r="AH20" s="33">
        <f t="shared" si="8"/>
        <v>0</v>
      </c>
      <c r="AI20" s="34"/>
    </row>
    <row r="21" ht="12" hidden="1" customHeight="1" spans="1:35">
      <c r="A21" s="31" t="s">
        <v>92</v>
      </c>
      <c r="B21" s="32"/>
      <c r="C21" s="32"/>
      <c r="D21" s="32"/>
      <c r="E21" s="33"/>
      <c r="F21" s="33"/>
      <c r="G21" s="33" t="e">
        <f t="shared" si="0"/>
        <v>#DIV/0!</v>
      </c>
      <c r="H21" s="33"/>
      <c r="I21" s="33"/>
      <c r="J21" s="33"/>
      <c r="K21" s="33" t="e">
        <f t="shared" si="1"/>
        <v>#DIV/0!</v>
      </c>
      <c r="L21" s="33"/>
      <c r="M21" s="33"/>
      <c r="N21" s="33"/>
      <c r="O21" s="33" t="e">
        <f t="shared" si="2"/>
        <v>#DIV/0!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 t="e">
        <f t="shared" si="3"/>
        <v>#DIV/0!</v>
      </c>
      <c r="AA21" s="33" t="e">
        <f t="shared" si="4"/>
        <v>#DIV/0!</v>
      </c>
      <c r="AB21" s="33" t="e">
        <f t="shared" si="5"/>
        <v>#DIV/0!</v>
      </c>
      <c r="AC21" s="33"/>
      <c r="AD21" s="33"/>
      <c r="AE21" s="33" t="e">
        <f>#REF!</f>
        <v>#REF!</v>
      </c>
      <c r="AF21" s="33">
        <f t="shared" si="6"/>
        <v>0</v>
      </c>
      <c r="AG21" s="33">
        <f t="shared" si="7"/>
        <v>0</v>
      </c>
      <c r="AH21" s="33">
        <f t="shared" si="8"/>
        <v>0</v>
      </c>
      <c r="AI21" s="34"/>
    </row>
    <row r="22" ht="12" hidden="1" customHeight="1" spans="1:35">
      <c r="A22" s="31" t="s">
        <v>93</v>
      </c>
      <c r="B22" s="32"/>
      <c r="C22" s="32"/>
      <c r="D22" s="32"/>
      <c r="E22" s="33"/>
      <c r="F22" s="33"/>
      <c r="G22" s="33" t="e">
        <f t="shared" si="0"/>
        <v>#DIV/0!</v>
      </c>
      <c r="H22" s="33"/>
      <c r="I22" s="33"/>
      <c r="J22" s="33"/>
      <c r="K22" s="33" t="e">
        <f t="shared" si="1"/>
        <v>#DIV/0!</v>
      </c>
      <c r="L22" s="33"/>
      <c r="M22" s="33"/>
      <c r="N22" s="33"/>
      <c r="O22" s="33" t="e">
        <f t="shared" si="2"/>
        <v>#DIV/0!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 t="e">
        <f t="shared" si="3"/>
        <v>#DIV/0!</v>
      </c>
      <c r="AA22" s="33" t="e">
        <f t="shared" si="4"/>
        <v>#DIV/0!</v>
      </c>
      <c r="AB22" s="33" t="e">
        <f t="shared" si="5"/>
        <v>#DIV/0!</v>
      </c>
      <c r="AC22" s="33"/>
      <c r="AD22" s="33"/>
      <c r="AE22" s="33" t="e">
        <f>#REF!</f>
        <v>#REF!</v>
      </c>
      <c r="AF22" s="33">
        <f t="shared" si="6"/>
        <v>0</v>
      </c>
      <c r="AG22" s="33">
        <f t="shared" si="7"/>
        <v>0</v>
      </c>
      <c r="AH22" s="33">
        <f t="shared" si="8"/>
        <v>0</v>
      </c>
      <c r="AI22" s="34"/>
    </row>
    <row r="23" ht="12" hidden="1" customHeight="1" spans="1:35">
      <c r="A23" s="31" t="s">
        <v>94</v>
      </c>
      <c r="B23" s="32"/>
      <c r="C23" s="32"/>
      <c r="D23" s="32"/>
      <c r="E23" s="33"/>
      <c r="F23" s="33"/>
      <c r="G23" s="33" t="e">
        <f t="shared" si="0"/>
        <v>#DIV/0!</v>
      </c>
      <c r="H23" s="33"/>
      <c r="I23" s="33"/>
      <c r="J23" s="33"/>
      <c r="K23" s="33" t="e">
        <f t="shared" si="1"/>
        <v>#DIV/0!</v>
      </c>
      <c r="L23" s="33"/>
      <c r="M23" s="33"/>
      <c r="N23" s="33"/>
      <c r="O23" s="33" t="e">
        <f t="shared" si="2"/>
        <v>#DIV/0!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 t="e">
        <f t="shared" si="3"/>
        <v>#DIV/0!</v>
      </c>
      <c r="AA23" s="33" t="e">
        <f t="shared" si="4"/>
        <v>#DIV/0!</v>
      </c>
      <c r="AB23" s="33" t="e">
        <f t="shared" si="5"/>
        <v>#DIV/0!</v>
      </c>
      <c r="AC23" s="33"/>
      <c r="AD23" s="33"/>
      <c r="AE23" s="33" t="e">
        <f>#REF!</f>
        <v>#REF!</v>
      </c>
      <c r="AF23" s="33">
        <f t="shared" si="6"/>
        <v>0</v>
      </c>
      <c r="AG23" s="33">
        <f t="shared" si="7"/>
        <v>0</v>
      </c>
      <c r="AH23" s="33">
        <f t="shared" si="8"/>
        <v>0</v>
      </c>
      <c r="AI23" s="34"/>
    </row>
    <row r="24" ht="12" hidden="1" customHeight="1" spans="1:35">
      <c r="A24" s="31" t="s">
        <v>95</v>
      </c>
      <c r="B24" s="32"/>
      <c r="C24" s="32"/>
      <c r="D24" s="32"/>
      <c r="E24" s="33"/>
      <c r="F24" s="33"/>
      <c r="G24" s="33" t="e">
        <f t="shared" si="0"/>
        <v>#DIV/0!</v>
      </c>
      <c r="H24" s="33"/>
      <c r="I24" s="33"/>
      <c r="J24" s="33"/>
      <c r="K24" s="33" t="e">
        <f t="shared" si="1"/>
        <v>#DIV/0!</v>
      </c>
      <c r="L24" s="33"/>
      <c r="M24" s="33"/>
      <c r="N24" s="33"/>
      <c r="O24" s="33" t="e">
        <f t="shared" si="2"/>
        <v>#DIV/0!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 t="e">
        <f t="shared" si="3"/>
        <v>#DIV/0!</v>
      </c>
      <c r="AA24" s="33" t="e">
        <f t="shared" si="4"/>
        <v>#DIV/0!</v>
      </c>
      <c r="AB24" s="33" t="e">
        <f t="shared" si="5"/>
        <v>#DIV/0!</v>
      </c>
      <c r="AC24" s="33"/>
      <c r="AD24" s="33"/>
      <c r="AE24" s="33" t="e">
        <f>#REF!</f>
        <v>#REF!</v>
      </c>
      <c r="AF24" s="33">
        <f t="shared" si="6"/>
        <v>0</v>
      </c>
      <c r="AG24" s="33">
        <f t="shared" si="7"/>
        <v>0</v>
      </c>
      <c r="AH24" s="33">
        <f t="shared" si="8"/>
        <v>0</v>
      </c>
      <c r="AI24" s="34"/>
    </row>
    <row r="25" ht="12" hidden="1" customHeight="1" spans="1:35">
      <c r="A25" s="31" t="s">
        <v>96</v>
      </c>
      <c r="B25" s="32"/>
      <c r="C25" s="32"/>
      <c r="D25" s="32"/>
      <c r="E25" s="33"/>
      <c r="F25" s="33"/>
      <c r="G25" s="33" t="e">
        <f t="shared" si="0"/>
        <v>#DIV/0!</v>
      </c>
      <c r="H25" s="33"/>
      <c r="I25" s="33"/>
      <c r="J25" s="33"/>
      <c r="K25" s="33" t="e">
        <f t="shared" si="1"/>
        <v>#DIV/0!</v>
      </c>
      <c r="L25" s="33"/>
      <c r="M25" s="33"/>
      <c r="N25" s="33"/>
      <c r="O25" s="33" t="e">
        <f t="shared" si="2"/>
        <v>#DIV/0!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 t="e">
        <f t="shared" si="3"/>
        <v>#DIV/0!</v>
      </c>
      <c r="AA25" s="33" t="e">
        <f t="shared" si="4"/>
        <v>#DIV/0!</v>
      </c>
      <c r="AB25" s="33" t="e">
        <f t="shared" si="5"/>
        <v>#DIV/0!</v>
      </c>
      <c r="AC25" s="33"/>
      <c r="AD25" s="33"/>
      <c r="AE25" s="33" t="e">
        <f>#REF!</f>
        <v>#REF!</v>
      </c>
      <c r="AF25" s="33">
        <f t="shared" si="6"/>
        <v>0</v>
      </c>
      <c r="AG25" s="33">
        <f t="shared" si="7"/>
        <v>0</v>
      </c>
      <c r="AH25" s="33">
        <f t="shared" si="8"/>
        <v>0</v>
      </c>
      <c r="AI25" s="34"/>
    </row>
    <row r="26" ht="12" hidden="1" customHeight="1" spans="1:35">
      <c r="A26" s="31" t="s">
        <v>97</v>
      </c>
      <c r="B26" s="32"/>
      <c r="C26" s="32"/>
      <c r="D26" s="32"/>
      <c r="E26" s="33"/>
      <c r="F26" s="33"/>
      <c r="G26" s="33" t="e">
        <f t="shared" si="0"/>
        <v>#DIV/0!</v>
      </c>
      <c r="H26" s="33"/>
      <c r="I26" s="33"/>
      <c r="J26" s="33"/>
      <c r="K26" s="33" t="e">
        <f t="shared" si="1"/>
        <v>#DIV/0!</v>
      </c>
      <c r="L26" s="33"/>
      <c r="M26" s="33"/>
      <c r="N26" s="33"/>
      <c r="O26" s="33" t="e">
        <f t="shared" si="2"/>
        <v>#DIV/0!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 t="e">
        <f t="shared" si="3"/>
        <v>#DIV/0!</v>
      </c>
      <c r="AA26" s="33" t="e">
        <f t="shared" si="4"/>
        <v>#DIV/0!</v>
      </c>
      <c r="AB26" s="33" t="e">
        <f t="shared" si="5"/>
        <v>#DIV/0!</v>
      </c>
      <c r="AC26" s="33"/>
      <c r="AD26" s="33"/>
      <c r="AE26" s="33" t="e">
        <f>#REF!</f>
        <v>#REF!</v>
      </c>
      <c r="AF26" s="33">
        <f t="shared" si="6"/>
        <v>0</v>
      </c>
      <c r="AG26" s="33">
        <f t="shared" si="7"/>
        <v>0</v>
      </c>
      <c r="AH26" s="33">
        <f t="shared" si="8"/>
        <v>0</v>
      </c>
      <c r="AI26" s="34"/>
    </row>
    <row r="27" ht="12" hidden="1" customHeight="1" spans="1:35">
      <c r="A27" s="31" t="s">
        <v>98</v>
      </c>
      <c r="B27" s="32"/>
      <c r="C27" s="32"/>
      <c r="D27" s="32"/>
      <c r="E27" s="33"/>
      <c r="F27" s="33"/>
      <c r="G27" s="33" t="e">
        <f t="shared" si="0"/>
        <v>#DIV/0!</v>
      </c>
      <c r="H27" s="33"/>
      <c r="I27" s="33"/>
      <c r="J27" s="33"/>
      <c r="K27" s="33" t="e">
        <f t="shared" si="1"/>
        <v>#DIV/0!</v>
      </c>
      <c r="L27" s="33"/>
      <c r="M27" s="33"/>
      <c r="N27" s="33"/>
      <c r="O27" s="33" t="e">
        <f t="shared" si="2"/>
        <v>#DIV/0!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 t="e">
        <f t="shared" si="3"/>
        <v>#DIV/0!</v>
      </c>
      <c r="AA27" s="33" t="e">
        <f t="shared" si="4"/>
        <v>#DIV/0!</v>
      </c>
      <c r="AB27" s="33" t="e">
        <f t="shared" si="5"/>
        <v>#DIV/0!</v>
      </c>
      <c r="AC27" s="33"/>
      <c r="AD27" s="33"/>
      <c r="AE27" s="33" t="e">
        <f>#REF!</f>
        <v>#REF!</v>
      </c>
      <c r="AF27" s="33">
        <f t="shared" si="6"/>
        <v>0</v>
      </c>
      <c r="AG27" s="33">
        <f t="shared" si="7"/>
        <v>0</v>
      </c>
      <c r="AH27" s="33">
        <f t="shared" si="8"/>
        <v>0</v>
      </c>
      <c r="AI27" s="34"/>
    </row>
    <row r="28" ht="12" hidden="1" customHeight="1" spans="1:35">
      <c r="A28" s="31" t="s">
        <v>99</v>
      </c>
      <c r="B28" s="32"/>
      <c r="C28" s="32"/>
      <c r="D28" s="32"/>
      <c r="E28" s="33"/>
      <c r="F28" s="33"/>
      <c r="G28" s="33" t="e">
        <f t="shared" si="0"/>
        <v>#DIV/0!</v>
      </c>
      <c r="H28" s="33"/>
      <c r="I28" s="33"/>
      <c r="J28" s="33"/>
      <c r="K28" s="33" t="e">
        <f t="shared" si="1"/>
        <v>#DIV/0!</v>
      </c>
      <c r="L28" s="33"/>
      <c r="M28" s="33"/>
      <c r="N28" s="33"/>
      <c r="O28" s="33" t="e">
        <f t="shared" si="2"/>
        <v>#DIV/0!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 t="e">
        <f t="shared" si="3"/>
        <v>#DIV/0!</v>
      </c>
      <c r="AA28" s="33" t="e">
        <f t="shared" si="4"/>
        <v>#DIV/0!</v>
      </c>
      <c r="AB28" s="33" t="e">
        <f t="shared" si="5"/>
        <v>#DIV/0!</v>
      </c>
      <c r="AC28" s="33"/>
      <c r="AD28" s="33"/>
      <c r="AE28" s="33" t="e">
        <f>#REF!</f>
        <v>#REF!</v>
      </c>
      <c r="AF28" s="33">
        <f t="shared" si="6"/>
        <v>0</v>
      </c>
      <c r="AG28" s="33">
        <f t="shared" si="7"/>
        <v>0</v>
      </c>
      <c r="AH28" s="33">
        <f t="shared" si="8"/>
        <v>0</v>
      </c>
      <c r="AI28" s="34"/>
    </row>
    <row r="29" ht="12" hidden="1" customHeight="1" spans="1:35">
      <c r="A29" s="31" t="s">
        <v>100</v>
      </c>
      <c r="B29" s="32"/>
      <c r="C29" s="32"/>
      <c r="D29" s="32"/>
      <c r="E29" s="33"/>
      <c r="F29" s="33"/>
      <c r="G29" s="33" t="e">
        <f t="shared" si="0"/>
        <v>#DIV/0!</v>
      </c>
      <c r="H29" s="33"/>
      <c r="I29" s="33"/>
      <c r="J29" s="33"/>
      <c r="K29" s="33" t="e">
        <f t="shared" si="1"/>
        <v>#DIV/0!</v>
      </c>
      <c r="L29" s="33"/>
      <c r="M29" s="33"/>
      <c r="N29" s="33"/>
      <c r="O29" s="33" t="e">
        <f t="shared" si="2"/>
        <v>#DIV/0!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 t="e">
        <f t="shared" si="3"/>
        <v>#DIV/0!</v>
      </c>
      <c r="AA29" s="33" t="e">
        <f t="shared" si="4"/>
        <v>#DIV/0!</v>
      </c>
      <c r="AB29" s="33" t="e">
        <f t="shared" si="5"/>
        <v>#DIV/0!</v>
      </c>
      <c r="AC29" s="33"/>
      <c r="AD29" s="33"/>
      <c r="AE29" s="33" t="e">
        <f>#REF!</f>
        <v>#REF!</v>
      </c>
      <c r="AF29" s="33">
        <f t="shared" si="6"/>
        <v>0</v>
      </c>
      <c r="AG29" s="33">
        <f t="shared" si="7"/>
        <v>0</v>
      </c>
      <c r="AH29" s="33">
        <f t="shared" si="8"/>
        <v>0</v>
      </c>
      <c r="AI29" s="34"/>
    </row>
    <row r="30" ht="12" hidden="1" customHeight="1" spans="1:35">
      <c r="A30" s="31" t="s">
        <v>101</v>
      </c>
      <c r="B30" s="32"/>
      <c r="C30" s="32"/>
      <c r="D30" s="32"/>
      <c r="E30" s="33"/>
      <c r="F30" s="33"/>
      <c r="G30" s="33" t="e">
        <f t="shared" si="0"/>
        <v>#DIV/0!</v>
      </c>
      <c r="H30" s="33"/>
      <c r="I30" s="33"/>
      <c r="J30" s="33"/>
      <c r="K30" s="33" t="e">
        <f t="shared" si="1"/>
        <v>#DIV/0!</v>
      </c>
      <c r="L30" s="33"/>
      <c r="M30" s="33"/>
      <c r="N30" s="33"/>
      <c r="O30" s="33" t="e">
        <f t="shared" si="2"/>
        <v>#DIV/0!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 t="e">
        <f t="shared" si="3"/>
        <v>#DIV/0!</v>
      </c>
      <c r="AA30" s="33" t="e">
        <f t="shared" si="4"/>
        <v>#DIV/0!</v>
      </c>
      <c r="AB30" s="33" t="e">
        <f t="shared" si="5"/>
        <v>#DIV/0!</v>
      </c>
      <c r="AC30" s="33"/>
      <c r="AD30" s="33"/>
      <c r="AE30" s="33" t="e">
        <f>#REF!</f>
        <v>#REF!</v>
      </c>
      <c r="AF30" s="33">
        <f t="shared" si="6"/>
        <v>0</v>
      </c>
      <c r="AG30" s="33">
        <f t="shared" si="7"/>
        <v>0</v>
      </c>
      <c r="AH30" s="33">
        <f t="shared" si="8"/>
        <v>0</v>
      </c>
      <c r="AI30" s="34"/>
    </row>
    <row r="31" ht="12" hidden="1" customHeight="1" spans="1:35">
      <c r="A31" s="31" t="s">
        <v>102</v>
      </c>
      <c r="B31" s="32"/>
      <c r="C31" s="32"/>
      <c r="D31" s="32"/>
      <c r="E31" s="33"/>
      <c r="F31" s="33"/>
      <c r="G31" s="33" t="e">
        <f t="shared" si="0"/>
        <v>#DIV/0!</v>
      </c>
      <c r="H31" s="33"/>
      <c r="I31" s="33"/>
      <c r="J31" s="33"/>
      <c r="K31" s="33" t="e">
        <f t="shared" si="1"/>
        <v>#DIV/0!</v>
      </c>
      <c r="L31" s="33"/>
      <c r="M31" s="33"/>
      <c r="N31" s="33"/>
      <c r="O31" s="33" t="e">
        <f t="shared" si="2"/>
        <v>#DIV/0!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 t="e">
        <f t="shared" si="3"/>
        <v>#DIV/0!</v>
      </c>
      <c r="AA31" s="33" t="e">
        <f t="shared" si="4"/>
        <v>#DIV/0!</v>
      </c>
      <c r="AB31" s="33" t="e">
        <f t="shared" si="5"/>
        <v>#DIV/0!</v>
      </c>
      <c r="AC31" s="33"/>
      <c r="AD31" s="33"/>
      <c r="AE31" s="33" t="e">
        <f>#REF!</f>
        <v>#REF!</v>
      </c>
      <c r="AF31" s="33">
        <f t="shared" si="6"/>
        <v>0</v>
      </c>
      <c r="AG31" s="33">
        <f t="shared" si="7"/>
        <v>0</v>
      </c>
      <c r="AH31" s="33">
        <f t="shared" si="8"/>
        <v>0</v>
      </c>
      <c r="AI31" s="34"/>
    </row>
    <row r="32" ht="12" hidden="1" customHeight="1" spans="1:35">
      <c r="A32" s="31" t="s">
        <v>103</v>
      </c>
      <c r="B32" s="32"/>
      <c r="C32" s="32"/>
      <c r="D32" s="32"/>
      <c r="E32" s="33"/>
      <c r="F32" s="33"/>
      <c r="G32" s="33" t="e">
        <f t="shared" si="0"/>
        <v>#DIV/0!</v>
      </c>
      <c r="H32" s="33"/>
      <c r="I32" s="33"/>
      <c r="J32" s="33"/>
      <c r="K32" s="33" t="e">
        <f t="shared" si="1"/>
        <v>#DIV/0!</v>
      </c>
      <c r="L32" s="33"/>
      <c r="M32" s="33"/>
      <c r="N32" s="33"/>
      <c r="O32" s="33" t="e">
        <f t="shared" si="2"/>
        <v>#DIV/0!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 t="e">
        <f t="shared" si="3"/>
        <v>#DIV/0!</v>
      </c>
      <c r="AA32" s="33" t="e">
        <f t="shared" si="4"/>
        <v>#DIV/0!</v>
      </c>
      <c r="AB32" s="33" t="e">
        <f t="shared" si="5"/>
        <v>#DIV/0!</v>
      </c>
      <c r="AC32" s="33"/>
      <c r="AD32" s="33"/>
      <c r="AE32" s="33" t="e">
        <f>#REF!</f>
        <v>#REF!</v>
      </c>
      <c r="AF32" s="33">
        <f t="shared" si="6"/>
        <v>0</v>
      </c>
      <c r="AG32" s="33">
        <f t="shared" si="7"/>
        <v>0</v>
      </c>
      <c r="AH32" s="33">
        <f t="shared" si="8"/>
        <v>0</v>
      </c>
      <c r="AI32" s="34"/>
    </row>
    <row r="33" ht="12" hidden="1" customHeight="1" spans="1:35">
      <c r="A33" s="31" t="s">
        <v>104</v>
      </c>
      <c r="B33" s="32"/>
      <c r="C33" s="32"/>
      <c r="D33" s="32"/>
      <c r="E33" s="33"/>
      <c r="F33" s="33"/>
      <c r="G33" s="33" t="e">
        <f t="shared" si="0"/>
        <v>#DIV/0!</v>
      </c>
      <c r="H33" s="33"/>
      <c r="I33" s="33"/>
      <c r="J33" s="33"/>
      <c r="K33" s="33" t="e">
        <f t="shared" si="1"/>
        <v>#DIV/0!</v>
      </c>
      <c r="L33" s="33"/>
      <c r="M33" s="33"/>
      <c r="N33" s="33"/>
      <c r="O33" s="33" t="e">
        <f t="shared" si="2"/>
        <v>#DIV/0!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 t="e">
        <f t="shared" si="3"/>
        <v>#DIV/0!</v>
      </c>
      <c r="AA33" s="33" t="e">
        <f t="shared" si="4"/>
        <v>#DIV/0!</v>
      </c>
      <c r="AB33" s="33" t="e">
        <f t="shared" si="5"/>
        <v>#DIV/0!</v>
      </c>
      <c r="AC33" s="33"/>
      <c r="AD33" s="33"/>
      <c r="AE33" s="33" t="e">
        <f>#REF!</f>
        <v>#REF!</v>
      </c>
      <c r="AF33" s="33">
        <f t="shared" si="6"/>
        <v>0</v>
      </c>
      <c r="AG33" s="33">
        <f t="shared" si="7"/>
        <v>0</v>
      </c>
      <c r="AH33" s="33">
        <f t="shared" si="8"/>
        <v>0</v>
      </c>
      <c r="AI33" s="34"/>
    </row>
    <row r="34" ht="12" hidden="1" customHeight="1" spans="1:35">
      <c r="A34" s="31" t="s">
        <v>105</v>
      </c>
      <c r="B34" s="32"/>
      <c r="C34" s="32"/>
      <c r="D34" s="32"/>
      <c r="E34" s="33"/>
      <c r="F34" s="33"/>
      <c r="G34" s="33" t="e">
        <f t="shared" si="0"/>
        <v>#DIV/0!</v>
      </c>
      <c r="H34" s="33"/>
      <c r="I34" s="33"/>
      <c r="J34" s="33"/>
      <c r="K34" s="33" t="e">
        <f t="shared" si="1"/>
        <v>#DIV/0!</v>
      </c>
      <c r="L34" s="33"/>
      <c r="M34" s="33"/>
      <c r="N34" s="33"/>
      <c r="O34" s="33" t="e">
        <f t="shared" si="2"/>
        <v>#DIV/0!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 t="e">
        <f t="shared" si="3"/>
        <v>#DIV/0!</v>
      </c>
      <c r="AA34" s="33" t="e">
        <f t="shared" si="4"/>
        <v>#DIV/0!</v>
      </c>
      <c r="AB34" s="33" t="e">
        <f t="shared" si="5"/>
        <v>#DIV/0!</v>
      </c>
      <c r="AC34" s="33"/>
      <c r="AD34" s="33"/>
      <c r="AE34" s="33" t="e">
        <f>#REF!</f>
        <v>#REF!</v>
      </c>
      <c r="AF34" s="33">
        <f t="shared" si="6"/>
        <v>0</v>
      </c>
      <c r="AG34" s="33">
        <f t="shared" si="7"/>
        <v>0</v>
      </c>
      <c r="AH34" s="33">
        <f t="shared" si="8"/>
        <v>0</v>
      </c>
      <c r="AI34" s="34"/>
    </row>
    <row r="35" ht="12" hidden="1" customHeight="1" spans="1:35">
      <c r="A35" s="31" t="s">
        <v>106</v>
      </c>
      <c r="B35" s="32"/>
      <c r="C35" s="32"/>
      <c r="D35" s="32"/>
      <c r="E35" s="33"/>
      <c r="F35" s="33"/>
      <c r="G35" s="33" t="e">
        <f t="shared" si="0"/>
        <v>#DIV/0!</v>
      </c>
      <c r="H35" s="33"/>
      <c r="I35" s="33"/>
      <c r="J35" s="33"/>
      <c r="K35" s="33" t="e">
        <f t="shared" si="1"/>
        <v>#DIV/0!</v>
      </c>
      <c r="L35" s="33"/>
      <c r="M35" s="33"/>
      <c r="N35" s="33"/>
      <c r="O35" s="33" t="e">
        <f t="shared" si="2"/>
        <v>#DIV/0!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 t="e">
        <f t="shared" si="3"/>
        <v>#DIV/0!</v>
      </c>
      <c r="AA35" s="33" t="e">
        <f t="shared" si="4"/>
        <v>#DIV/0!</v>
      </c>
      <c r="AB35" s="33" t="e">
        <f t="shared" si="5"/>
        <v>#DIV/0!</v>
      </c>
      <c r="AC35" s="33"/>
      <c r="AD35" s="33"/>
      <c r="AE35" s="33" t="e">
        <f>#REF!</f>
        <v>#REF!</v>
      </c>
      <c r="AF35" s="33">
        <f t="shared" si="6"/>
        <v>0</v>
      </c>
      <c r="AG35" s="33">
        <f t="shared" si="7"/>
        <v>0</v>
      </c>
      <c r="AH35" s="33">
        <f t="shared" si="8"/>
        <v>0</v>
      </c>
      <c r="AI35" s="34"/>
    </row>
    <row r="36" ht="12" hidden="1" customHeight="1" spans="1:35">
      <c r="A36" s="31" t="s">
        <v>107</v>
      </c>
      <c r="B36" s="32"/>
      <c r="C36" s="32"/>
      <c r="D36" s="32"/>
      <c r="E36" s="33"/>
      <c r="F36" s="33"/>
      <c r="G36" s="33" t="e">
        <f t="shared" si="0"/>
        <v>#DIV/0!</v>
      </c>
      <c r="H36" s="33"/>
      <c r="I36" s="33"/>
      <c r="J36" s="33"/>
      <c r="K36" s="33" t="e">
        <f t="shared" si="1"/>
        <v>#DIV/0!</v>
      </c>
      <c r="L36" s="33"/>
      <c r="M36" s="33"/>
      <c r="N36" s="33"/>
      <c r="O36" s="33" t="e">
        <f t="shared" si="2"/>
        <v>#DIV/0!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 t="e">
        <f t="shared" si="3"/>
        <v>#DIV/0!</v>
      </c>
      <c r="AA36" s="33" t="e">
        <f t="shared" si="4"/>
        <v>#DIV/0!</v>
      </c>
      <c r="AB36" s="33" t="e">
        <f t="shared" si="5"/>
        <v>#DIV/0!</v>
      </c>
      <c r="AC36" s="33"/>
      <c r="AD36" s="33"/>
      <c r="AE36" s="33" t="e">
        <f>#REF!</f>
        <v>#REF!</v>
      </c>
      <c r="AF36" s="33">
        <f t="shared" si="6"/>
        <v>0</v>
      </c>
      <c r="AG36" s="33">
        <f t="shared" si="7"/>
        <v>0</v>
      </c>
      <c r="AH36" s="33">
        <f t="shared" si="8"/>
        <v>0</v>
      </c>
      <c r="AI36" s="34"/>
    </row>
    <row r="37" ht="15" hidden="1" spans="1:35">
      <c r="A37" s="31" t="s">
        <v>108</v>
      </c>
      <c r="B37" s="32"/>
      <c r="C37" s="32"/>
      <c r="D37" s="32"/>
      <c r="E37" s="33"/>
      <c r="F37" s="33"/>
      <c r="G37" s="33" t="e">
        <f t="shared" si="0"/>
        <v>#DIV/0!</v>
      </c>
      <c r="H37" s="33"/>
      <c r="I37" s="33"/>
      <c r="J37" s="33"/>
      <c r="K37" s="33" t="e">
        <f t="shared" si="1"/>
        <v>#DIV/0!</v>
      </c>
      <c r="L37" s="33"/>
      <c r="M37" s="33"/>
      <c r="N37" s="33"/>
      <c r="O37" s="33" t="e">
        <f t="shared" si="2"/>
        <v>#DIV/0!</v>
      </c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 t="e">
        <f t="shared" si="3"/>
        <v>#DIV/0!</v>
      </c>
      <c r="AA37" s="33" t="e">
        <f t="shared" si="4"/>
        <v>#DIV/0!</v>
      </c>
      <c r="AB37" s="33" t="e">
        <f t="shared" si="5"/>
        <v>#DIV/0!</v>
      </c>
      <c r="AC37" s="33"/>
      <c r="AD37" s="33"/>
      <c r="AE37" s="33" t="e">
        <f>#REF!</f>
        <v>#REF!</v>
      </c>
      <c r="AF37" s="33">
        <f t="shared" si="6"/>
        <v>0</v>
      </c>
      <c r="AG37" s="33">
        <f t="shared" si="7"/>
        <v>0</v>
      </c>
      <c r="AH37" s="33">
        <f t="shared" si="8"/>
        <v>0</v>
      </c>
      <c r="AI37" s="34"/>
    </row>
    <row r="38" ht="15" hidden="1" spans="1:35">
      <c r="A38" s="31" t="s">
        <v>109</v>
      </c>
      <c r="B38" s="32"/>
      <c r="C38" s="32"/>
      <c r="D38" s="32"/>
      <c r="E38" s="33"/>
      <c r="F38" s="33"/>
      <c r="G38" s="33" t="e">
        <f t="shared" si="0"/>
        <v>#DIV/0!</v>
      </c>
      <c r="H38" s="33"/>
      <c r="I38" s="33"/>
      <c r="J38" s="33"/>
      <c r="K38" s="33" t="e">
        <f t="shared" si="1"/>
        <v>#DIV/0!</v>
      </c>
      <c r="L38" s="33"/>
      <c r="M38" s="33"/>
      <c r="N38" s="33"/>
      <c r="O38" s="33" t="e">
        <f t="shared" si="2"/>
        <v>#DIV/0!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 t="e">
        <f t="shared" si="3"/>
        <v>#DIV/0!</v>
      </c>
      <c r="AA38" s="33" t="e">
        <f t="shared" si="4"/>
        <v>#DIV/0!</v>
      </c>
      <c r="AB38" s="33" t="e">
        <f t="shared" si="5"/>
        <v>#DIV/0!</v>
      </c>
      <c r="AC38" s="33"/>
      <c r="AD38" s="33"/>
      <c r="AE38" s="33" t="e">
        <f>#REF!</f>
        <v>#REF!</v>
      </c>
      <c r="AF38" s="33">
        <f t="shared" si="6"/>
        <v>0</v>
      </c>
      <c r="AG38" s="33">
        <f t="shared" si="7"/>
        <v>0</v>
      </c>
      <c r="AH38" s="33">
        <f t="shared" si="8"/>
        <v>0</v>
      </c>
      <c r="AI38" s="34"/>
    </row>
    <row r="39" ht="15" hidden="1" spans="1:35">
      <c r="A39" s="31" t="s">
        <v>110</v>
      </c>
      <c r="B39" s="32"/>
      <c r="C39" s="32"/>
      <c r="D39" s="32"/>
      <c r="E39" s="33"/>
      <c r="F39" s="33"/>
      <c r="G39" s="33" t="e">
        <f t="shared" si="0"/>
        <v>#DIV/0!</v>
      </c>
      <c r="H39" s="33"/>
      <c r="I39" s="33"/>
      <c r="J39" s="33"/>
      <c r="K39" s="33" t="e">
        <f t="shared" si="1"/>
        <v>#DIV/0!</v>
      </c>
      <c r="L39" s="33"/>
      <c r="M39" s="33"/>
      <c r="N39" s="33"/>
      <c r="O39" s="33" t="e">
        <f t="shared" si="2"/>
        <v>#DIV/0!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 t="e">
        <f t="shared" si="3"/>
        <v>#DIV/0!</v>
      </c>
      <c r="AA39" s="33" t="e">
        <f t="shared" si="4"/>
        <v>#DIV/0!</v>
      </c>
      <c r="AB39" s="33" t="e">
        <f t="shared" si="5"/>
        <v>#DIV/0!</v>
      </c>
      <c r="AC39" s="33"/>
      <c r="AD39" s="33"/>
      <c r="AE39" s="33" t="e">
        <f>#REF!</f>
        <v>#REF!</v>
      </c>
      <c r="AF39" s="33">
        <f t="shared" si="6"/>
        <v>0</v>
      </c>
      <c r="AG39" s="33">
        <f t="shared" si="7"/>
        <v>0</v>
      </c>
      <c r="AH39" s="33">
        <f t="shared" si="8"/>
        <v>0</v>
      </c>
      <c r="AI39" s="34"/>
    </row>
    <row r="40" ht="15" hidden="1" spans="1:35">
      <c r="A40" s="31" t="s">
        <v>111</v>
      </c>
      <c r="B40" s="32"/>
      <c r="C40" s="32"/>
      <c r="D40" s="32"/>
      <c r="E40" s="33"/>
      <c r="F40" s="33"/>
      <c r="G40" s="33" t="e">
        <f t="shared" si="0"/>
        <v>#DIV/0!</v>
      </c>
      <c r="H40" s="33"/>
      <c r="I40" s="33"/>
      <c r="J40" s="33"/>
      <c r="K40" s="33" t="e">
        <f t="shared" si="1"/>
        <v>#DIV/0!</v>
      </c>
      <c r="L40" s="33"/>
      <c r="M40" s="33"/>
      <c r="N40" s="33"/>
      <c r="O40" s="33" t="e">
        <f t="shared" si="2"/>
        <v>#DIV/0!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 t="e">
        <f t="shared" si="3"/>
        <v>#DIV/0!</v>
      </c>
      <c r="AA40" s="33" t="e">
        <f t="shared" si="4"/>
        <v>#DIV/0!</v>
      </c>
      <c r="AB40" s="33" t="e">
        <f t="shared" si="5"/>
        <v>#DIV/0!</v>
      </c>
      <c r="AC40" s="33"/>
      <c r="AD40" s="33"/>
      <c r="AE40" s="33" t="e">
        <f>#REF!</f>
        <v>#REF!</v>
      </c>
      <c r="AF40" s="33">
        <f t="shared" si="6"/>
        <v>0</v>
      </c>
      <c r="AG40" s="33">
        <f t="shared" si="7"/>
        <v>0</v>
      </c>
      <c r="AH40" s="33">
        <f t="shared" si="8"/>
        <v>0</v>
      </c>
      <c r="AI40" s="34"/>
    </row>
    <row r="41" ht="15" hidden="1" spans="1:35">
      <c r="A41" s="31" t="s">
        <v>112</v>
      </c>
      <c r="B41" s="32"/>
      <c r="C41" s="32"/>
      <c r="D41" s="32"/>
      <c r="E41" s="33"/>
      <c r="F41" s="33"/>
      <c r="G41" s="33" t="e">
        <f t="shared" si="0"/>
        <v>#DIV/0!</v>
      </c>
      <c r="H41" s="33"/>
      <c r="I41" s="33"/>
      <c r="J41" s="33"/>
      <c r="K41" s="33" t="e">
        <f t="shared" si="1"/>
        <v>#DIV/0!</v>
      </c>
      <c r="L41" s="33"/>
      <c r="M41" s="33"/>
      <c r="N41" s="33"/>
      <c r="O41" s="33" t="e">
        <f t="shared" si="2"/>
        <v>#DIV/0!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 t="e">
        <f t="shared" si="3"/>
        <v>#DIV/0!</v>
      </c>
      <c r="AA41" s="33" t="e">
        <f t="shared" si="4"/>
        <v>#DIV/0!</v>
      </c>
      <c r="AB41" s="33" t="e">
        <f t="shared" si="5"/>
        <v>#DIV/0!</v>
      </c>
      <c r="AC41" s="33"/>
      <c r="AD41" s="33"/>
      <c r="AE41" s="33" t="e">
        <f>#REF!</f>
        <v>#REF!</v>
      </c>
      <c r="AF41" s="33">
        <f t="shared" si="6"/>
        <v>0</v>
      </c>
      <c r="AG41" s="33">
        <f t="shared" si="7"/>
        <v>0</v>
      </c>
      <c r="AH41" s="33">
        <f t="shared" si="8"/>
        <v>0</v>
      </c>
      <c r="AI41" s="34"/>
    </row>
    <row r="42" ht="15" hidden="1" spans="1:35">
      <c r="A42" s="31" t="s">
        <v>113</v>
      </c>
      <c r="B42" s="32"/>
      <c r="C42" s="32"/>
      <c r="D42" s="32"/>
      <c r="E42" s="33"/>
      <c r="F42" s="33"/>
      <c r="G42" s="33" t="e">
        <f t="shared" si="0"/>
        <v>#DIV/0!</v>
      </c>
      <c r="H42" s="33"/>
      <c r="I42" s="33"/>
      <c r="J42" s="33"/>
      <c r="K42" s="33" t="e">
        <f t="shared" si="1"/>
        <v>#DIV/0!</v>
      </c>
      <c r="L42" s="33"/>
      <c r="M42" s="33"/>
      <c r="N42" s="33"/>
      <c r="O42" s="33" t="e">
        <f t="shared" si="2"/>
        <v>#DIV/0!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 t="e">
        <f t="shared" si="3"/>
        <v>#DIV/0!</v>
      </c>
      <c r="AA42" s="33" t="e">
        <f t="shared" si="4"/>
        <v>#DIV/0!</v>
      </c>
      <c r="AB42" s="33" t="e">
        <f t="shared" si="5"/>
        <v>#DIV/0!</v>
      </c>
      <c r="AC42" s="33"/>
      <c r="AD42" s="33"/>
      <c r="AE42" s="33" t="e">
        <f>#REF!</f>
        <v>#REF!</v>
      </c>
      <c r="AF42" s="33">
        <f t="shared" si="6"/>
        <v>0</v>
      </c>
      <c r="AG42" s="33">
        <f t="shared" si="7"/>
        <v>0</v>
      </c>
      <c r="AH42" s="33">
        <f t="shared" si="8"/>
        <v>0</v>
      </c>
      <c r="AI42" s="34"/>
    </row>
    <row r="43" ht="15" hidden="1" spans="1:35">
      <c r="A43" s="31" t="s">
        <v>114</v>
      </c>
      <c r="B43" s="32"/>
      <c r="C43" s="32"/>
      <c r="D43" s="32"/>
      <c r="E43" s="33"/>
      <c r="F43" s="33"/>
      <c r="G43" s="33" t="e">
        <f t="shared" si="0"/>
        <v>#DIV/0!</v>
      </c>
      <c r="H43" s="33"/>
      <c r="I43" s="33"/>
      <c r="J43" s="33"/>
      <c r="K43" s="33" t="e">
        <f t="shared" si="1"/>
        <v>#DIV/0!</v>
      </c>
      <c r="L43" s="33"/>
      <c r="M43" s="33"/>
      <c r="N43" s="33"/>
      <c r="O43" s="33" t="e">
        <f t="shared" si="2"/>
        <v>#DIV/0!</v>
      </c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 t="e">
        <f t="shared" si="3"/>
        <v>#DIV/0!</v>
      </c>
      <c r="AA43" s="33" t="e">
        <f t="shared" si="4"/>
        <v>#DIV/0!</v>
      </c>
      <c r="AB43" s="33" t="e">
        <f t="shared" si="5"/>
        <v>#DIV/0!</v>
      </c>
      <c r="AC43" s="33"/>
      <c r="AD43" s="33"/>
      <c r="AE43" s="33" t="e">
        <f>#REF!</f>
        <v>#REF!</v>
      </c>
      <c r="AF43" s="33">
        <f t="shared" si="6"/>
        <v>0</v>
      </c>
      <c r="AG43" s="33">
        <f t="shared" si="7"/>
        <v>0</v>
      </c>
      <c r="AH43" s="33">
        <f t="shared" si="8"/>
        <v>0</v>
      </c>
      <c r="AI43" s="34"/>
    </row>
    <row r="44" hidden="1" spans="5:25">
      <c r="E44" s="34"/>
      <c r="F44" s="34"/>
      <c r="G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52"/>
      <c r="X44" s="52"/>
      <c r="Y44" s="52"/>
    </row>
    <row r="45" hidden="1" spans="23:25">
      <c r="W45" s="52"/>
      <c r="X45" s="52"/>
      <c r="Y45" s="52"/>
    </row>
    <row r="46" hidden="1" spans="23:25">
      <c r="W46" s="52"/>
      <c r="X46" s="52"/>
      <c r="Y46" s="52"/>
    </row>
    <row r="47" hidden="1" spans="23:25">
      <c r="W47" s="52"/>
      <c r="X47" s="52"/>
      <c r="Y47" s="52"/>
    </row>
    <row r="48" hidden="1" spans="23:25">
      <c r="W48" s="52"/>
      <c r="X48" s="52"/>
      <c r="Y48" s="52"/>
    </row>
    <row r="49" ht="29.25" customHeight="1" spans="4:35">
      <c r="D49" s="75" t="s">
        <v>115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</row>
    <row r="50" ht="15" customHeight="1" spans="2:10">
      <c r="B50" s="36" t="s">
        <v>116</v>
      </c>
      <c r="C50" s="36"/>
      <c r="D50" s="36"/>
      <c r="E50"/>
      <c r="F50"/>
      <c r="H50"/>
      <c r="I50"/>
      <c r="J50"/>
    </row>
    <row r="51" ht="15" customHeight="1" spans="2:10">
      <c r="B51" s="36"/>
      <c r="C51" s="36"/>
      <c r="D51" s="36"/>
      <c r="E51"/>
      <c r="F51"/>
      <c r="H51"/>
      <c r="I51"/>
      <c r="J51"/>
    </row>
    <row r="52" ht="15" customHeight="1" spans="2:53">
      <c r="B52" s="36"/>
      <c r="C52" s="36"/>
      <c r="D52" s="36"/>
      <c r="E52" s="37" t="s">
        <v>117</v>
      </c>
      <c r="F52" s="38"/>
      <c r="G52" s="38"/>
      <c r="H52" s="37" t="s">
        <v>118</v>
      </c>
      <c r="I52" s="38"/>
      <c r="J52" s="38"/>
      <c r="K52" s="37" t="s">
        <v>119</v>
      </c>
      <c r="L52" s="38"/>
      <c r="M52" s="38"/>
      <c r="N52" s="37" t="s">
        <v>120</v>
      </c>
      <c r="O52" s="38"/>
      <c r="P52" s="38"/>
      <c r="Q52" s="37" t="s">
        <v>121</v>
      </c>
      <c r="R52" s="38"/>
      <c r="S52" s="38"/>
      <c r="T52" s="37" t="s">
        <v>122</v>
      </c>
      <c r="U52" s="38"/>
      <c r="V52" s="38"/>
      <c r="W52" s="37" t="s">
        <v>123</v>
      </c>
      <c r="X52" s="38"/>
      <c r="Y52" s="38"/>
      <c r="Z52" s="37" t="s">
        <v>124</v>
      </c>
      <c r="AA52" s="38"/>
      <c r="AB52" s="38"/>
      <c r="AC52" s="37" t="s">
        <v>125</v>
      </c>
      <c r="AD52" s="38"/>
      <c r="AE52" s="38"/>
      <c r="AF52" s="37" t="s">
        <v>126</v>
      </c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 t="s">
        <v>121</v>
      </c>
      <c r="AW52" s="38"/>
      <c r="AX52" s="38"/>
      <c r="AY52" s="38" t="s">
        <v>122</v>
      </c>
      <c r="AZ52" s="38"/>
      <c r="BA52" s="38"/>
    </row>
    <row r="53" ht="15" spans="4:35">
      <c r="D53" s="4"/>
      <c r="E53" s="39" t="s">
        <v>127</v>
      </c>
      <c r="F53" s="39" t="s">
        <v>128</v>
      </c>
      <c r="G53" s="39" t="s">
        <v>129</v>
      </c>
      <c r="H53" s="40" t="s">
        <v>130</v>
      </c>
      <c r="I53" s="40" t="s">
        <v>128</v>
      </c>
      <c r="J53" s="40" t="s">
        <v>129</v>
      </c>
      <c r="K53" s="39" t="s">
        <v>127</v>
      </c>
      <c r="L53" s="39" t="s">
        <v>128</v>
      </c>
      <c r="M53" s="39" t="s">
        <v>129</v>
      </c>
      <c r="N53" s="40" t="s">
        <v>130</v>
      </c>
      <c r="O53" s="40" t="s">
        <v>128</v>
      </c>
      <c r="P53" s="40" t="s">
        <v>129</v>
      </c>
      <c r="Q53" s="39" t="s">
        <v>127</v>
      </c>
      <c r="R53" s="39" t="s">
        <v>128</v>
      </c>
      <c r="S53" s="39" t="s">
        <v>129</v>
      </c>
      <c r="T53" s="40" t="s">
        <v>130</v>
      </c>
      <c r="U53" s="40" t="s">
        <v>128</v>
      </c>
      <c r="V53" s="40" t="s">
        <v>129</v>
      </c>
      <c r="W53" s="39" t="s">
        <v>127</v>
      </c>
      <c r="X53" s="39" t="s">
        <v>128</v>
      </c>
      <c r="Y53" s="39" t="s">
        <v>129</v>
      </c>
      <c r="Z53" s="40" t="s">
        <v>130</v>
      </c>
      <c r="AA53" s="40" t="s">
        <v>128</v>
      </c>
      <c r="AB53" s="40" t="s">
        <v>129</v>
      </c>
      <c r="AC53" s="39" t="s">
        <v>127</v>
      </c>
      <c r="AD53" s="39" t="s">
        <v>128</v>
      </c>
      <c r="AE53" s="39" t="s">
        <v>129</v>
      </c>
      <c r="AF53" s="40" t="s">
        <v>130</v>
      </c>
      <c r="AG53" s="40" t="s">
        <v>128</v>
      </c>
      <c r="AH53" s="40" t="s">
        <v>129</v>
      </c>
      <c r="AI53" s="89"/>
    </row>
    <row r="54" ht="15" spans="1:35">
      <c r="A54" s="41" t="s">
        <v>131</v>
      </c>
      <c r="B54" s="42" t="s">
        <v>132</v>
      </c>
      <c r="C54" s="43" t="s">
        <v>133</v>
      </c>
      <c r="D54" s="43" t="s">
        <v>134</v>
      </c>
      <c r="E54" s="44">
        <v>45803</v>
      </c>
      <c r="F54" s="44">
        <f>E54+1</f>
        <v>45804</v>
      </c>
      <c r="G54" s="44">
        <f>F54+1</f>
        <v>45805</v>
      </c>
      <c r="H54" s="44">
        <f>E54+7</f>
        <v>45810</v>
      </c>
      <c r="I54" s="44">
        <f>H54+1</f>
        <v>45811</v>
      </c>
      <c r="J54" s="44">
        <f>I54+1</f>
        <v>45812</v>
      </c>
      <c r="K54" s="44">
        <f>H54+7</f>
        <v>45817</v>
      </c>
      <c r="L54" s="44">
        <f>K54+1</f>
        <v>45818</v>
      </c>
      <c r="M54" s="44">
        <f>L54+1</f>
        <v>45819</v>
      </c>
      <c r="N54" s="44">
        <f>K54+7</f>
        <v>45824</v>
      </c>
      <c r="O54" s="44">
        <f>N54+1</f>
        <v>45825</v>
      </c>
      <c r="P54" s="44">
        <f>O54+1</f>
        <v>45826</v>
      </c>
      <c r="Q54" s="44">
        <f>N54+7</f>
        <v>45831</v>
      </c>
      <c r="R54" s="44">
        <f>Q54+1</f>
        <v>45832</v>
      </c>
      <c r="S54" s="44">
        <f>R54+1</f>
        <v>45833</v>
      </c>
      <c r="T54" s="44">
        <f>Q54+7</f>
        <v>45838</v>
      </c>
      <c r="U54" s="44">
        <f>T54+1</f>
        <v>45839</v>
      </c>
      <c r="V54" s="44">
        <f>U54+1</f>
        <v>45840</v>
      </c>
      <c r="W54" s="44">
        <f>T54+7</f>
        <v>45845</v>
      </c>
      <c r="X54" s="44">
        <f>W54+1</f>
        <v>45846</v>
      </c>
      <c r="Y54" s="44">
        <f>X54+1</f>
        <v>45847</v>
      </c>
      <c r="Z54" s="44">
        <f>W54+7</f>
        <v>45852</v>
      </c>
      <c r="AA54" s="44">
        <f>Z54+1</f>
        <v>45853</v>
      </c>
      <c r="AB54" s="44">
        <f>AA54+1</f>
        <v>45854</v>
      </c>
      <c r="AC54" s="44">
        <f>Z54+7</f>
        <v>45859</v>
      </c>
      <c r="AD54" s="44">
        <f>AC54+1</f>
        <v>45860</v>
      </c>
      <c r="AE54" s="44">
        <f>AD54+1</f>
        <v>45861</v>
      </c>
      <c r="AF54" s="44">
        <f>AC54+7</f>
        <v>45866</v>
      </c>
      <c r="AG54" s="44">
        <f>AF54+1</f>
        <v>45867</v>
      </c>
      <c r="AH54" s="44">
        <f>AG54+1</f>
        <v>45868</v>
      </c>
      <c r="AI54" s="44"/>
    </row>
    <row r="55" ht="15" spans="1:41">
      <c r="A55" s="41" t="str">
        <f>'[1]final 5-J'!A11</f>
        <v>01</v>
      </c>
      <c r="B55" s="45" t="str">
        <f>'RELACION GENERAL'!B6</f>
        <v>CASAVILCA ACOSTA YZUHAIM HUGO ALBERTO</v>
      </c>
      <c r="C55" s="82"/>
      <c r="D55" s="71"/>
      <c r="E55" s="83" t="s">
        <v>135</v>
      </c>
      <c r="F55" s="83" t="s">
        <v>135</v>
      </c>
      <c r="G55" s="83" t="s">
        <v>135</v>
      </c>
      <c r="H55" s="83" t="s">
        <v>135</v>
      </c>
      <c r="I55" s="83" t="s">
        <v>135</v>
      </c>
      <c r="J55" s="83" t="s">
        <v>135</v>
      </c>
      <c r="K55" s="83" t="s">
        <v>135</v>
      </c>
      <c r="L55" s="83" t="s">
        <v>135</v>
      </c>
      <c r="M55" s="83" t="s">
        <v>135</v>
      </c>
      <c r="N55" s="83" t="s">
        <v>135</v>
      </c>
      <c r="O55" s="83" t="s">
        <v>135</v>
      </c>
      <c r="P55" s="83" t="s">
        <v>135</v>
      </c>
      <c r="Q55" s="83" t="s">
        <v>136</v>
      </c>
      <c r="R55" s="83" t="s">
        <v>135</v>
      </c>
      <c r="S55" s="83" t="s">
        <v>135</v>
      </c>
      <c r="T55" s="83" t="s">
        <v>137</v>
      </c>
      <c r="U55" s="83" t="s">
        <v>138</v>
      </c>
      <c r="V55" s="83" t="s">
        <v>138</v>
      </c>
      <c r="W55" s="83" t="s">
        <v>135</v>
      </c>
      <c r="X55" s="83" t="s">
        <v>135</v>
      </c>
      <c r="Y55" s="83" t="s">
        <v>135</v>
      </c>
      <c r="Z55" s="83" t="s">
        <v>135</v>
      </c>
      <c r="AA55" s="83" t="s">
        <v>135</v>
      </c>
      <c r="AB55" s="83" t="s">
        <v>135</v>
      </c>
      <c r="AC55" s="83" t="s">
        <v>135</v>
      </c>
      <c r="AD55" s="83" t="s">
        <v>135</v>
      </c>
      <c r="AE55" s="83" t="s">
        <v>139</v>
      </c>
      <c r="AF55" s="47"/>
      <c r="AG55" s="47"/>
      <c r="AH55" s="47"/>
      <c r="AI55" s="90">
        <v>2</v>
      </c>
      <c r="AJ55">
        <v>0.74</v>
      </c>
      <c r="AK55">
        <f>COUNTIF(E55:AE55,"ok")+AI55</f>
        <v>27</v>
      </c>
      <c r="AM55">
        <f>AJ55*AK55</f>
        <v>19.98</v>
      </c>
      <c r="AO55" s="4" t="s">
        <v>140</v>
      </c>
    </row>
    <row r="56" ht="15" spans="1:41">
      <c r="A56" s="41" t="str">
        <f>'[1]final 5-J'!A12</f>
        <v>02</v>
      </c>
      <c r="B56" s="45" t="str">
        <f>'RELACION GENERAL'!B7</f>
        <v>CASTRO VARGAS JHORDAN ANDREE WILLIAN</v>
      </c>
      <c r="C56" s="84"/>
      <c r="D56" s="72"/>
      <c r="E56" s="83" t="s">
        <v>135</v>
      </c>
      <c r="F56" s="83" t="s">
        <v>135</v>
      </c>
      <c r="G56" s="83" t="s">
        <v>135</v>
      </c>
      <c r="H56" s="83" t="s">
        <v>135</v>
      </c>
      <c r="I56" s="83" t="s">
        <v>135</v>
      </c>
      <c r="J56" s="83" t="s">
        <v>135</v>
      </c>
      <c r="K56" s="83" t="s">
        <v>135</v>
      </c>
      <c r="L56" s="83" t="s">
        <v>135</v>
      </c>
      <c r="M56" s="83" t="s">
        <v>135</v>
      </c>
      <c r="N56" s="83" t="s">
        <v>135</v>
      </c>
      <c r="O56" s="83" t="s">
        <v>135</v>
      </c>
      <c r="P56" s="83" t="s">
        <v>135</v>
      </c>
      <c r="Q56" s="83" t="s">
        <v>141</v>
      </c>
      <c r="R56" s="83" t="s">
        <v>135</v>
      </c>
      <c r="S56" s="83" t="s">
        <v>135</v>
      </c>
      <c r="T56" s="83" t="s">
        <v>137</v>
      </c>
      <c r="U56" s="83" t="s">
        <v>138</v>
      </c>
      <c r="V56" s="83" t="s">
        <v>138</v>
      </c>
      <c r="W56" s="83" t="s">
        <v>135</v>
      </c>
      <c r="X56" s="83" t="s">
        <v>135</v>
      </c>
      <c r="Y56" s="83" t="s">
        <v>135</v>
      </c>
      <c r="Z56" s="83" t="s">
        <v>135</v>
      </c>
      <c r="AA56" s="83" t="s">
        <v>135</v>
      </c>
      <c r="AB56" s="83" t="s">
        <v>135</v>
      </c>
      <c r="AC56" s="83" t="s">
        <v>135</v>
      </c>
      <c r="AD56" s="83" t="s">
        <v>135</v>
      </c>
      <c r="AE56" s="83" t="s">
        <v>142</v>
      </c>
      <c r="AF56" s="47"/>
      <c r="AG56" s="91"/>
      <c r="AH56" s="91"/>
      <c r="AI56" s="90">
        <v>2</v>
      </c>
      <c r="AJ56">
        <v>0.74</v>
      </c>
      <c r="AK56">
        <f t="shared" ref="AK56:AK68" si="9">COUNTIF(E56:AE56,"ok")+AI56</f>
        <v>27</v>
      </c>
      <c r="AM56">
        <f t="shared" ref="AM56:AM68" si="10">AJ56*AK56</f>
        <v>19.98</v>
      </c>
      <c r="AO56" s="4" t="s">
        <v>140</v>
      </c>
    </row>
    <row r="57" ht="15" spans="1:41">
      <c r="A57" s="41" t="str">
        <f>'[1]final 5-J'!A13</f>
        <v>03</v>
      </c>
      <c r="B57" s="45" t="str">
        <f>'RELACION GENERAL'!B8</f>
        <v>CONDE GAMBOA JHONATAN RODRIGO</v>
      </c>
      <c r="C57" s="82"/>
      <c r="D57" s="71"/>
      <c r="E57" s="83" t="s">
        <v>135</v>
      </c>
      <c r="F57" s="83" t="s">
        <v>135</v>
      </c>
      <c r="G57" s="83" t="s">
        <v>135</v>
      </c>
      <c r="H57" s="83" t="s">
        <v>135</v>
      </c>
      <c r="I57" s="83" t="s">
        <v>135</v>
      </c>
      <c r="J57" s="83" t="s">
        <v>135</v>
      </c>
      <c r="K57" s="83" t="s">
        <v>135</v>
      </c>
      <c r="L57" s="83" t="s">
        <v>135</v>
      </c>
      <c r="M57" s="83" t="s">
        <v>135</v>
      </c>
      <c r="N57" s="83" t="s">
        <v>135</v>
      </c>
      <c r="O57" s="83" t="s">
        <v>135</v>
      </c>
      <c r="P57" s="83" t="s">
        <v>135</v>
      </c>
      <c r="Q57" s="83" t="s">
        <v>143</v>
      </c>
      <c r="R57" s="83" t="s">
        <v>135</v>
      </c>
      <c r="S57" s="83" t="s">
        <v>135</v>
      </c>
      <c r="T57" s="83" t="s">
        <v>137</v>
      </c>
      <c r="U57" s="83" t="s">
        <v>138</v>
      </c>
      <c r="V57" s="83" t="s">
        <v>138</v>
      </c>
      <c r="W57" s="83" t="s">
        <v>135</v>
      </c>
      <c r="X57" s="83" t="s">
        <v>135</v>
      </c>
      <c r="Y57" s="83" t="s">
        <v>135</v>
      </c>
      <c r="Z57" s="83" t="s">
        <v>135</v>
      </c>
      <c r="AA57" s="83" t="s">
        <v>135</v>
      </c>
      <c r="AB57" s="83" t="s">
        <v>135</v>
      </c>
      <c r="AC57" s="83" t="s">
        <v>135</v>
      </c>
      <c r="AD57" s="83" t="s">
        <v>135</v>
      </c>
      <c r="AE57" s="83" t="s">
        <v>144</v>
      </c>
      <c r="AF57" s="47"/>
      <c r="AG57" s="47"/>
      <c r="AH57" s="47"/>
      <c r="AI57" s="90">
        <v>2</v>
      </c>
      <c r="AJ57">
        <v>0.74</v>
      </c>
      <c r="AK57">
        <f t="shared" si="9"/>
        <v>27</v>
      </c>
      <c r="AM57">
        <f t="shared" si="10"/>
        <v>19.98</v>
      </c>
      <c r="AO57" s="4" t="s">
        <v>140</v>
      </c>
    </row>
    <row r="58" ht="15" spans="1:41">
      <c r="A58" s="41" t="str">
        <f>'[1]final 5-J'!A14</f>
        <v>04</v>
      </c>
      <c r="B58" s="45" t="str">
        <f>'RELACION GENERAL'!B9</f>
        <v>CUADROS ZEVALLOS ANGELO DAVID</v>
      </c>
      <c r="C58" s="82"/>
      <c r="D58" s="71"/>
      <c r="E58" s="83" t="s">
        <v>135</v>
      </c>
      <c r="F58" s="83" t="s">
        <v>135</v>
      </c>
      <c r="G58" s="83" t="s">
        <v>135</v>
      </c>
      <c r="H58" s="83" t="s">
        <v>135</v>
      </c>
      <c r="I58" s="83" t="s">
        <v>135</v>
      </c>
      <c r="J58" s="83" t="s">
        <v>135</v>
      </c>
      <c r="K58" s="83" t="s">
        <v>135</v>
      </c>
      <c r="L58" s="83" t="s">
        <v>135</v>
      </c>
      <c r="M58" s="83" t="s">
        <v>135</v>
      </c>
      <c r="N58" s="83" t="s">
        <v>135</v>
      </c>
      <c r="O58" s="83" t="s">
        <v>135</v>
      </c>
      <c r="P58" s="83" t="s">
        <v>135</v>
      </c>
      <c r="Q58" s="83" t="s">
        <v>145</v>
      </c>
      <c r="R58" s="83" t="s">
        <v>135</v>
      </c>
      <c r="S58" s="83" t="s">
        <v>135</v>
      </c>
      <c r="T58" s="83" t="s">
        <v>137</v>
      </c>
      <c r="U58" s="83" t="s">
        <v>138</v>
      </c>
      <c r="V58" s="83" t="s">
        <v>138</v>
      </c>
      <c r="W58" s="83" t="s">
        <v>135</v>
      </c>
      <c r="X58" s="83" t="s">
        <v>135</v>
      </c>
      <c r="Y58" s="83" t="s">
        <v>135</v>
      </c>
      <c r="Z58" s="83" t="s">
        <v>135</v>
      </c>
      <c r="AA58" s="83" t="s">
        <v>135</v>
      </c>
      <c r="AB58" s="83" t="s">
        <v>135</v>
      </c>
      <c r="AC58" s="83" t="s">
        <v>135</v>
      </c>
      <c r="AD58" s="83" t="s">
        <v>135</v>
      </c>
      <c r="AE58" s="83" t="s">
        <v>146</v>
      </c>
      <c r="AF58" s="47"/>
      <c r="AG58" s="47"/>
      <c r="AH58" s="47"/>
      <c r="AI58" s="90">
        <v>2</v>
      </c>
      <c r="AJ58">
        <v>0.74</v>
      </c>
      <c r="AK58">
        <f t="shared" si="9"/>
        <v>27</v>
      </c>
      <c r="AM58">
        <f t="shared" si="10"/>
        <v>19.98</v>
      </c>
      <c r="AO58" s="4" t="s">
        <v>140</v>
      </c>
    </row>
    <row r="59" ht="15" spans="1:41">
      <c r="A59" s="41" t="str">
        <f>'[1]final 5-J'!A15</f>
        <v>05</v>
      </c>
      <c r="B59" s="45" t="str">
        <f>'RELACION GENERAL'!B10</f>
        <v>GALINDO HERNANDEZ EMERSON FELIPE</v>
      </c>
      <c r="C59" s="82"/>
      <c r="D59" s="71"/>
      <c r="E59" s="83" t="s">
        <v>135</v>
      </c>
      <c r="F59" s="83" t="s">
        <v>135</v>
      </c>
      <c r="G59" s="83" t="s">
        <v>135</v>
      </c>
      <c r="H59" s="83" t="s">
        <v>135</v>
      </c>
      <c r="I59" s="83" t="s">
        <v>135</v>
      </c>
      <c r="J59" s="83" t="s">
        <v>135</v>
      </c>
      <c r="K59" s="83" t="s">
        <v>135</v>
      </c>
      <c r="L59" s="83" t="s">
        <v>135</v>
      </c>
      <c r="M59" s="83" t="s">
        <v>135</v>
      </c>
      <c r="N59" s="83" t="s">
        <v>135</v>
      </c>
      <c r="O59" s="83" t="s">
        <v>135</v>
      </c>
      <c r="P59" s="83" t="s">
        <v>135</v>
      </c>
      <c r="Q59" s="83"/>
      <c r="R59" s="83" t="s">
        <v>135</v>
      </c>
      <c r="S59" s="83" t="s">
        <v>135</v>
      </c>
      <c r="T59" s="83" t="s">
        <v>137</v>
      </c>
      <c r="U59" s="83" t="s">
        <v>138</v>
      </c>
      <c r="V59" s="83" t="s">
        <v>138</v>
      </c>
      <c r="W59" s="83" t="s">
        <v>135</v>
      </c>
      <c r="X59" s="83" t="s">
        <v>135</v>
      </c>
      <c r="Y59" s="83" t="s">
        <v>135</v>
      </c>
      <c r="Z59" s="83" t="s">
        <v>135</v>
      </c>
      <c r="AA59" s="83" t="s">
        <v>135</v>
      </c>
      <c r="AB59" s="83" t="s">
        <v>135</v>
      </c>
      <c r="AC59" s="83" t="s">
        <v>135</v>
      </c>
      <c r="AD59" s="83" t="s">
        <v>135</v>
      </c>
      <c r="AE59" s="83"/>
      <c r="AF59" s="47"/>
      <c r="AG59" s="47"/>
      <c r="AH59" s="47"/>
      <c r="AI59" s="90">
        <v>2</v>
      </c>
      <c r="AJ59">
        <v>0.74</v>
      </c>
      <c r="AK59">
        <f t="shared" si="9"/>
        <v>27</v>
      </c>
      <c r="AM59">
        <f t="shared" si="10"/>
        <v>19.98</v>
      </c>
      <c r="AO59" s="4" t="s">
        <v>140</v>
      </c>
    </row>
    <row r="60" ht="15" spans="1:41">
      <c r="A60" s="41" t="str">
        <f>'[1]final 5-J'!A16</f>
        <v>06</v>
      </c>
      <c r="B60" s="45" t="str">
        <f>'RELACION GENERAL'!B11</f>
        <v>HERNANDEZ ENRIQUEZ JARED MIGUEL</v>
      </c>
      <c r="C60" s="82"/>
      <c r="D60" s="71"/>
      <c r="E60" s="83" t="s">
        <v>135</v>
      </c>
      <c r="F60" s="83" t="s">
        <v>135</v>
      </c>
      <c r="G60" s="83" t="s">
        <v>135</v>
      </c>
      <c r="H60" s="83" t="s">
        <v>135</v>
      </c>
      <c r="I60" s="83" t="s">
        <v>135</v>
      </c>
      <c r="J60" s="83" t="s">
        <v>135</v>
      </c>
      <c r="K60" s="83" t="s">
        <v>135</v>
      </c>
      <c r="L60" s="83" t="s">
        <v>135</v>
      </c>
      <c r="M60" s="83" t="s">
        <v>135</v>
      </c>
      <c r="N60" s="83" t="s">
        <v>135</v>
      </c>
      <c r="O60" s="83" t="s">
        <v>135</v>
      </c>
      <c r="P60" s="83" t="s">
        <v>135</v>
      </c>
      <c r="Q60" s="83"/>
      <c r="R60" s="83" t="s">
        <v>135</v>
      </c>
      <c r="S60" s="83"/>
      <c r="T60" s="83" t="s">
        <v>137</v>
      </c>
      <c r="U60" s="83" t="s">
        <v>138</v>
      </c>
      <c r="V60" s="83" t="s">
        <v>138</v>
      </c>
      <c r="W60" s="83" t="s">
        <v>135</v>
      </c>
      <c r="X60" s="83" t="s">
        <v>135</v>
      </c>
      <c r="Y60" s="83" t="s">
        <v>135</v>
      </c>
      <c r="Z60" s="83" t="s">
        <v>135</v>
      </c>
      <c r="AA60" s="83" t="s">
        <v>135</v>
      </c>
      <c r="AB60" s="83" t="s">
        <v>135</v>
      </c>
      <c r="AC60" s="83" t="s">
        <v>135</v>
      </c>
      <c r="AD60" s="83" t="s">
        <v>135</v>
      </c>
      <c r="AE60" s="83"/>
      <c r="AF60" s="47"/>
      <c r="AG60" s="47"/>
      <c r="AH60" s="47"/>
      <c r="AI60" s="90">
        <v>2</v>
      </c>
      <c r="AJ60">
        <v>0.74</v>
      </c>
      <c r="AK60">
        <f t="shared" si="9"/>
        <v>26</v>
      </c>
      <c r="AM60">
        <f t="shared" si="10"/>
        <v>19.24</v>
      </c>
      <c r="AO60" s="4" t="s">
        <v>140</v>
      </c>
    </row>
    <row r="61" s="1" customFormat="1" ht="15" spans="1:41">
      <c r="A61" s="49" t="str">
        <f>'[1]final 5-J'!A17</f>
        <v>07</v>
      </c>
      <c r="B61" s="50" t="str">
        <f>'RELACION GENERAL'!B12</f>
        <v>HERNANDEZ MUNIVE NICOLAS ERNESTO</v>
      </c>
      <c r="C61" s="85"/>
      <c r="D61" s="74"/>
      <c r="E61" s="83" t="s">
        <v>135</v>
      </c>
      <c r="F61" s="83" t="s">
        <v>135</v>
      </c>
      <c r="G61" s="83" t="s">
        <v>135</v>
      </c>
      <c r="H61" s="83" t="s">
        <v>135</v>
      </c>
      <c r="I61" s="83" t="s">
        <v>135</v>
      </c>
      <c r="J61" s="83" t="s">
        <v>135</v>
      </c>
      <c r="K61" s="83" t="s">
        <v>135</v>
      </c>
      <c r="L61" s="83" t="s">
        <v>135</v>
      </c>
      <c r="M61" s="83" t="s">
        <v>135</v>
      </c>
      <c r="N61" s="83" t="s">
        <v>135</v>
      </c>
      <c r="O61" s="83" t="s">
        <v>135</v>
      </c>
      <c r="P61" s="83" t="s">
        <v>135</v>
      </c>
      <c r="Q61" s="83"/>
      <c r="R61" s="83" t="s">
        <v>135</v>
      </c>
      <c r="S61" s="83" t="s">
        <v>135</v>
      </c>
      <c r="T61" s="83" t="s">
        <v>137</v>
      </c>
      <c r="U61" s="83" t="s">
        <v>138</v>
      </c>
      <c r="V61" s="83" t="s">
        <v>138</v>
      </c>
      <c r="W61" s="83" t="s">
        <v>135</v>
      </c>
      <c r="X61" s="83" t="s">
        <v>135</v>
      </c>
      <c r="Y61" s="83" t="s">
        <v>135</v>
      </c>
      <c r="Z61" s="83" t="s">
        <v>135</v>
      </c>
      <c r="AA61" s="83" t="s">
        <v>135</v>
      </c>
      <c r="AB61" s="83" t="s">
        <v>135</v>
      </c>
      <c r="AC61" s="83" t="s">
        <v>135</v>
      </c>
      <c r="AD61" s="83" t="s">
        <v>135</v>
      </c>
      <c r="AE61" s="83"/>
      <c r="AF61" s="56"/>
      <c r="AG61" s="56"/>
      <c r="AH61" s="56"/>
      <c r="AI61" s="90">
        <v>2</v>
      </c>
      <c r="AJ61" s="1">
        <v>0.74</v>
      </c>
      <c r="AK61">
        <f t="shared" si="9"/>
        <v>27</v>
      </c>
      <c r="AM61">
        <f t="shared" si="10"/>
        <v>19.98</v>
      </c>
      <c r="AO61" s="57" t="s">
        <v>140</v>
      </c>
    </row>
    <row r="62" ht="15" spans="1:41">
      <c r="A62" s="41" t="str">
        <f>'[1]final 5-J'!A18</f>
        <v>08</v>
      </c>
      <c r="B62" s="45" t="str">
        <f>'RELACION GENERAL'!B13</f>
        <v>NAVAS GOMEZ BENJAMIN HUMBERTO</v>
      </c>
      <c r="C62" s="82"/>
      <c r="D62" s="71"/>
      <c r="E62" s="83" t="s">
        <v>135</v>
      </c>
      <c r="F62" s="83" t="s">
        <v>135</v>
      </c>
      <c r="G62" s="83" t="s">
        <v>135</v>
      </c>
      <c r="H62" s="83" t="s">
        <v>135</v>
      </c>
      <c r="I62" s="83" t="s">
        <v>135</v>
      </c>
      <c r="J62" s="83" t="s">
        <v>135</v>
      </c>
      <c r="K62" s="83" t="s">
        <v>135</v>
      </c>
      <c r="L62" s="83" t="s">
        <v>135</v>
      </c>
      <c r="M62" s="83" t="s">
        <v>135</v>
      </c>
      <c r="N62" s="83" t="s">
        <v>135</v>
      </c>
      <c r="O62" s="83" t="s">
        <v>135</v>
      </c>
      <c r="P62" s="83" t="s">
        <v>135</v>
      </c>
      <c r="Q62" s="83"/>
      <c r="R62" s="83" t="s">
        <v>135</v>
      </c>
      <c r="S62" s="83" t="s">
        <v>135</v>
      </c>
      <c r="T62" s="83" t="s">
        <v>137</v>
      </c>
      <c r="U62" s="83" t="s">
        <v>138</v>
      </c>
      <c r="V62" s="83" t="s">
        <v>138</v>
      </c>
      <c r="W62" s="83" t="s">
        <v>135</v>
      </c>
      <c r="X62" s="83" t="s">
        <v>135</v>
      </c>
      <c r="Y62" s="83" t="s">
        <v>135</v>
      </c>
      <c r="Z62" s="83" t="s">
        <v>135</v>
      </c>
      <c r="AA62" s="83" t="s">
        <v>135</v>
      </c>
      <c r="AB62" s="83" t="s">
        <v>135</v>
      </c>
      <c r="AC62" s="83" t="s">
        <v>135</v>
      </c>
      <c r="AD62" s="83" t="s">
        <v>135</v>
      </c>
      <c r="AE62" s="83"/>
      <c r="AF62" s="47"/>
      <c r="AG62" s="47"/>
      <c r="AH62" s="47"/>
      <c r="AI62" s="90">
        <v>2</v>
      </c>
      <c r="AJ62">
        <v>0.74</v>
      </c>
      <c r="AK62">
        <f t="shared" si="9"/>
        <v>27</v>
      </c>
      <c r="AM62">
        <f t="shared" si="10"/>
        <v>19.98</v>
      </c>
      <c r="AO62" s="4" t="s">
        <v>140</v>
      </c>
    </row>
    <row r="63" ht="15" spans="1:41">
      <c r="A63" s="41" t="str">
        <f>'[1]final 5-J'!A19</f>
        <v>09</v>
      </c>
      <c r="B63" s="45" t="str">
        <f>'RELACION GENERAL'!B14</f>
        <v>PACHECO ESPILLCO MATIAS DEYAIR</v>
      </c>
      <c r="C63" s="82"/>
      <c r="D63" s="71"/>
      <c r="E63" s="83" t="s">
        <v>135</v>
      </c>
      <c r="F63" s="83" t="s">
        <v>135</v>
      </c>
      <c r="G63" s="83" t="s">
        <v>135</v>
      </c>
      <c r="H63" s="83" t="s">
        <v>135</v>
      </c>
      <c r="I63" s="83" t="s">
        <v>135</v>
      </c>
      <c r="J63" s="83" t="s">
        <v>135</v>
      </c>
      <c r="K63" s="83" t="s">
        <v>135</v>
      </c>
      <c r="L63" s="83" t="s">
        <v>135</v>
      </c>
      <c r="M63" s="83" t="s">
        <v>135</v>
      </c>
      <c r="N63" s="83" t="s">
        <v>135</v>
      </c>
      <c r="O63" s="83" t="s">
        <v>135</v>
      </c>
      <c r="P63" s="83" t="s">
        <v>135</v>
      </c>
      <c r="Q63" s="83"/>
      <c r="R63" s="83" t="s">
        <v>135</v>
      </c>
      <c r="S63" s="83" t="s">
        <v>135</v>
      </c>
      <c r="T63" s="83" t="s">
        <v>137</v>
      </c>
      <c r="U63" s="83" t="s">
        <v>138</v>
      </c>
      <c r="V63" s="83" t="s">
        <v>138</v>
      </c>
      <c r="W63" s="83" t="s">
        <v>135</v>
      </c>
      <c r="X63" s="83" t="s">
        <v>135</v>
      </c>
      <c r="Y63" s="83" t="s">
        <v>135</v>
      </c>
      <c r="Z63" s="83" t="s">
        <v>135</v>
      </c>
      <c r="AA63" s="83" t="s">
        <v>135</v>
      </c>
      <c r="AB63" s="83" t="s">
        <v>135</v>
      </c>
      <c r="AC63" s="83" t="s">
        <v>135</v>
      </c>
      <c r="AD63" s="83" t="s">
        <v>135</v>
      </c>
      <c r="AE63" s="83"/>
      <c r="AF63" s="47"/>
      <c r="AG63" s="47"/>
      <c r="AH63" s="47"/>
      <c r="AI63" s="90">
        <v>2</v>
      </c>
      <c r="AJ63">
        <v>0.74</v>
      </c>
      <c r="AK63">
        <f t="shared" si="9"/>
        <v>27</v>
      </c>
      <c r="AM63">
        <f t="shared" si="10"/>
        <v>19.98</v>
      </c>
      <c r="AO63" s="4" t="s">
        <v>140</v>
      </c>
    </row>
    <row r="64" ht="15" spans="1:41">
      <c r="A64" s="41" t="str">
        <f>'[1]final 5-J'!A20</f>
        <v>10</v>
      </c>
      <c r="B64" s="45" t="str">
        <f>'RELACION GENERAL'!B15</f>
        <v>RAMIREZ ESCRIBA JHERCY HUSCIEL</v>
      </c>
      <c r="C64" s="84"/>
      <c r="D64" s="72"/>
      <c r="E64" s="83" t="s">
        <v>135</v>
      </c>
      <c r="F64" s="83" t="s">
        <v>135</v>
      </c>
      <c r="G64" s="83"/>
      <c r="H64" s="83" t="s">
        <v>135</v>
      </c>
      <c r="I64" s="83" t="s">
        <v>135</v>
      </c>
      <c r="J64" s="83" t="s">
        <v>135</v>
      </c>
      <c r="K64" s="83"/>
      <c r="L64" s="83" t="s">
        <v>135</v>
      </c>
      <c r="M64" s="83" t="s">
        <v>135</v>
      </c>
      <c r="N64" s="83" t="s">
        <v>135</v>
      </c>
      <c r="O64" s="83" t="s">
        <v>135</v>
      </c>
      <c r="P64" s="83" t="s">
        <v>135</v>
      </c>
      <c r="Q64" s="83"/>
      <c r="R64" s="83" t="s">
        <v>135</v>
      </c>
      <c r="S64" s="83" t="s">
        <v>135</v>
      </c>
      <c r="T64" s="83" t="s">
        <v>137</v>
      </c>
      <c r="U64" s="83" t="s">
        <v>138</v>
      </c>
      <c r="V64" s="83"/>
      <c r="W64" s="83" t="s">
        <v>135</v>
      </c>
      <c r="X64" s="83" t="s">
        <v>135</v>
      </c>
      <c r="Y64" s="83" t="s">
        <v>135</v>
      </c>
      <c r="Z64" s="83" t="s">
        <v>135</v>
      </c>
      <c r="AA64" s="83" t="s">
        <v>135</v>
      </c>
      <c r="AB64" s="83" t="s">
        <v>135</v>
      </c>
      <c r="AC64" s="83" t="s">
        <v>135</v>
      </c>
      <c r="AD64" s="83" t="s">
        <v>135</v>
      </c>
      <c r="AE64" s="83"/>
      <c r="AF64" s="47"/>
      <c r="AG64" s="47"/>
      <c r="AH64" s="47"/>
      <c r="AI64" s="90">
        <v>2</v>
      </c>
      <c r="AJ64">
        <v>0.74</v>
      </c>
      <c r="AK64">
        <f t="shared" si="9"/>
        <v>24</v>
      </c>
      <c r="AM64">
        <f t="shared" si="10"/>
        <v>17.76</v>
      </c>
      <c r="AO64" s="4" t="s">
        <v>140</v>
      </c>
    </row>
    <row r="65" ht="15" spans="1:41">
      <c r="A65" s="41" t="str">
        <f>'[1]final 5-J'!A21</f>
        <v>11</v>
      </c>
      <c r="B65" s="45" t="str">
        <f>'RELACION GENERAL'!B16</f>
        <v>SANCHEZ SANTIAGO KALEB MOISES</v>
      </c>
      <c r="C65" s="82"/>
      <c r="D65" s="71"/>
      <c r="E65" s="83" t="s">
        <v>135</v>
      </c>
      <c r="F65" s="83" t="s">
        <v>135</v>
      </c>
      <c r="G65" s="83" t="s">
        <v>135</v>
      </c>
      <c r="H65" s="83" t="s">
        <v>135</v>
      </c>
      <c r="I65" s="83" t="s">
        <v>135</v>
      </c>
      <c r="J65" s="83" t="s">
        <v>135</v>
      </c>
      <c r="K65" s="83" t="s">
        <v>135</v>
      </c>
      <c r="L65" s="83" t="s">
        <v>135</v>
      </c>
      <c r="M65" s="83" t="s">
        <v>135</v>
      </c>
      <c r="N65" s="83"/>
      <c r="O65" s="83" t="s">
        <v>135</v>
      </c>
      <c r="P65" s="83" t="s">
        <v>135</v>
      </c>
      <c r="Q65" s="83"/>
      <c r="R65" s="83" t="s">
        <v>135</v>
      </c>
      <c r="S65" s="83" t="s">
        <v>135</v>
      </c>
      <c r="T65" s="83" t="s">
        <v>137</v>
      </c>
      <c r="U65" s="83" t="s">
        <v>138</v>
      </c>
      <c r="V65" s="83" t="s">
        <v>138</v>
      </c>
      <c r="W65" s="83" t="s">
        <v>135</v>
      </c>
      <c r="X65" s="83" t="s">
        <v>135</v>
      </c>
      <c r="Y65" s="83" t="s">
        <v>135</v>
      </c>
      <c r="Z65" s="83" t="s">
        <v>135</v>
      </c>
      <c r="AA65" s="83" t="s">
        <v>135</v>
      </c>
      <c r="AB65" s="83" t="s">
        <v>135</v>
      </c>
      <c r="AC65" s="83" t="s">
        <v>135</v>
      </c>
      <c r="AD65" s="83" t="s">
        <v>135</v>
      </c>
      <c r="AE65" s="83"/>
      <c r="AF65" s="47"/>
      <c r="AG65" s="47"/>
      <c r="AH65" s="47"/>
      <c r="AI65" s="90">
        <v>2</v>
      </c>
      <c r="AJ65">
        <v>0.74</v>
      </c>
      <c r="AK65">
        <f t="shared" si="9"/>
        <v>26</v>
      </c>
      <c r="AM65">
        <f t="shared" si="10"/>
        <v>19.24</v>
      </c>
      <c r="AO65" s="4" t="s">
        <v>140</v>
      </c>
    </row>
    <row r="66" ht="15" spans="1:41">
      <c r="A66" s="41" t="str">
        <f>'[1]final 5-J'!A22</f>
        <v>12</v>
      </c>
      <c r="B66" s="45" t="str">
        <f>'RELACION GENERAL'!B17</f>
        <v>SEGOVIA LICAS DANGELO KENDALL</v>
      </c>
      <c r="C66" s="82"/>
      <c r="D66" s="71"/>
      <c r="E66" s="83" t="s">
        <v>135</v>
      </c>
      <c r="F66" s="83" t="s">
        <v>135</v>
      </c>
      <c r="G66" s="83" t="s">
        <v>135</v>
      </c>
      <c r="H66" s="83" t="s">
        <v>135</v>
      </c>
      <c r="I66" s="83" t="s">
        <v>135</v>
      </c>
      <c r="J66" s="83" t="s">
        <v>135</v>
      </c>
      <c r="K66" s="83" t="s">
        <v>135</v>
      </c>
      <c r="L66" s="83" t="s">
        <v>135</v>
      </c>
      <c r="M66" s="83" t="s">
        <v>135</v>
      </c>
      <c r="N66" s="83"/>
      <c r="O66" s="83" t="s">
        <v>135</v>
      </c>
      <c r="P66" s="83" t="s">
        <v>135</v>
      </c>
      <c r="Q66" s="83"/>
      <c r="R66" s="83" t="s">
        <v>135</v>
      </c>
      <c r="S66" s="83" t="s">
        <v>135</v>
      </c>
      <c r="T66" s="83" t="s">
        <v>137</v>
      </c>
      <c r="U66" s="83" t="s">
        <v>138</v>
      </c>
      <c r="V66" s="83" t="s">
        <v>138</v>
      </c>
      <c r="W66" s="83" t="s">
        <v>135</v>
      </c>
      <c r="X66" s="83" t="s">
        <v>135</v>
      </c>
      <c r="Y66" s="83" t="s">
        <v>135</v>
      </c>
      <c r="Z66" s="83"/>
      <c r="AA66" s="83" t="s">
        <v>135</v>
      </c>
      <c r="AB66" s="83" t="s">
        <v>135</v>
      </c>
      <c r="AC66" s="83" t="s">
        <v>135</v>
      </c>
      <c r="AD66" s="83" t="s">
        <v>135</v>
      </c>
      <c r="AE66" s="83"/>
      <c r="AF66" s="47"/>
      <c r="AG66" s="47"/>
      <c r="AH66" s="47"/>
      <c r="AI66" s="90">
        <v>2</v>
      </c>
      <c r="AJ66">
        <v>0.74</v>
      </c>
      <c r="AK66">
        <f t="shared" si="9"/>
        <v>25</v>
      </c>
      <c r="AM66">
        <f t="shared" si="10"/>
        <v>18.5</v>
      </c>
      <c r="AO66" s="4" t="s">
        <v>140</v>
      </c>
    </row>
    <row r="67" ht="15" spans="1:41">
      <c r="A67" s="41" t="str">
        <f>'[1]final 5-J'!A23</f>
        <v>13</v>
      </c>
      <c r="B67" s="45" t="str">
        <f>'RELACION GENERAL'!B18</f>
        <v>VELARDE GONZALEZ MARCOS MIGUEL</v>
      </c>
      <c r="C67" s="84"/>
      <c r="D67" s="92"/>
      <c r="E67" s="83" t="s">
        <v>135</v>
      </c>
      <c r="F67" s="83" t="s">
        <v>135</v>
      </c>
      <c r="G67" s="83" t="s">
        <v>135</v>
      </c>
      <c r="H67" s="83" t="s">
        <v>135</v>
      </c>
      <c r="I67" s="83" t="s">
        <v>135</v>
      </c>
      <c r="J67" s="83" t="s">
        <v>135</v>
      </c>
      <c r="K67" s="83" t="s">
        <v>135</v>
      </c>
      <c r="L67" s="83" t="s">
        <v>135</v>
      </c>
      <c r="M67" s="83" t="s">
        <v>135</v>
      </c>
      <c r="N67" s="83"/>
      <c r="O67" s="83" t="s">
        <v>135</v>
      </c>
      <c r="P67" s="83"/>
      <c r="Q67" s="83"/>
      <c r="R67" s="83" t="s">
        <v>135</v>
      </c>
      <c r="S67" s="83" t="s">
        <v>135</v>
      </c>
      <c r="T67" s="83" t="s">
        <v>137</v>
      </c>
      <c r="U67" s="83" t="s">
        <v>138</v>
      </c>
      <c r="V67" s="83" t="s">
        <v>138</v>
      </c>
      <c r="W67" s="83" t="s">
        <v>135</v>
      </c>
      <c r="X67" s="83" t="s">
        <v>135</v>
      </c>
      <c r="Y67" s="83" t="s">
        <v>135</v>
      </c>
      <c r="Z67" s="83" t="s">
        <v>135</v>
      </c>
      <c r="AA67" s="83" t="s">
        <v>135</v>
      </c>
      <c r="AB67" s="83" t="s">
        <v>135</v>
      </c>
      <c r="AC67" s="83" t="s">
        <v>135</v>
      </c>
      <c r="AD67" s="83" t="s">
        <v>135</v>
      </c>
      <c r="AE67" s="83"/>
      <c r="AF67" s="47"/>
      <c r="AG67" s="47"/>
      <c r="AH67" s="47"/>
      <c r="AI67" s="90">
        <v>2</v>
      </c>
      <c r="AJ67">
        <v>0.74</v>
      </c>
      <c r="AK67">
        <f t="shared" si="9"/>
        <v>25</v>
      </c>
      <c r="AM67">
        <f t="shared" si="10"/>
        <v>18.5</v>
      </c>
      <c r="AO67" s="4" t="s">
        <v>140</v>
      </c>
    </row>
    <row r="68" ht="15" spans="1:41">
      <c r="A68" s="41" t="str">
        <f>'[1]final 5-J'!A24</f>
        <v>14</v>
      </c>
      <c r="B68" s="45" t="str">
        <f>'RELACION GENERAL'!B19</f>
        <v>YARCURI CRISOSTOMO JUAN DIEGO</v>
      </c>
      <c r="C68" s="84"/>
      <c r="D68" s="72"/>
      <c r="E68" s="83" t="s">
        <v>135</v>
      </c>
      <c r="F68" s="83" t="s">
        <v>135</v>
      </c>
      <c r="G68" s="83" t="s">
        <v>135</v>
      </c>
      <c r="H68" s="83" t="s">
        <v>135</v>
      </c>
      <c r="I68" s="83" t="s">
        <v>135</v>
      </c>
      <c r="J68" s="83" t="s">
        <v>135</v>
      </c>
      <c r="K68" s="83" t="s">
        <v>135</v>
      </c>
      <c r="L68" s="83" t="s">
        <v>135</v>
      </c>
      <c r="M68" s="83" t="s">
        <v>135</v>
      </c>
      <c r="N68" s="83" t="s">
        <v>135</v>
      </c>
      <c r="O68" s="83" t="s">
        <v>135</v>
      </c>
      <c r="P68" s="83" t="s">
        <v>135</v>
      </c>
      <c r="Q68" s="83"/>
      <c r="R68" s="83" t="s">
        <v>135</v>
      </c>
      <c r="S68" s="83" t="s">
        <v>135</v>
      </c>
      <c r="T68" s="83" t="s">
        <v>137</v>
      </c>
      <c r="U68" s="83" t="s">
        <v>138</v>
      </c>
      <c r="V68" s="83" t="s">
        <v>138</v>
      </c>
      <c r="W68" s="83" t="s">
        <v>135</v>
      </c>
      <c r="X68" s="83" t="s">
        <v>135</v>
      </c>
      <c r="Y68" s="83" t="s">
        <v>135</v>
      </c>
      <c r="Z68" s="83" t="s">
        <v>135</v>
      </c>
      <c r="AA68" s="83" t="s">
        <v>135</v>
      </c>
      <c r="AB68" s="83" t="s">
        <v>135</v>
      </c>
      <c r="AC68" s="83" t="s">
        <v>135</v>
      </c>
      <c r="AD68" s="83" t="s">
        <v>135</v>
      </c>
      <c r="AE68" s="83"/>
      <c r="AF68" s="47"/>
      <c r="AG68" s="47"/>
      <c r="AH68" s="47"/>
      <c r="AI68" s="90">
        <v>2</v>
      </c>
      <c r="AJ68">
        <v>0.74</v>
      </c>
      <c r="AK68">
        <f t="shared" si="9"/>
        <v>27</v>
      </c>
      <c r="AM68">
        <f t="shared" si="10"/>
        <v>19.98</v>
      </c>
      <c r="AO68" s="4" t="s">
        <v>140</v>
      </c>
    </row>
    <row r="69" s="1" customFormat="1" ht="15" spans="1:41">
      <c r="A69" s="49" t="str">
        <f>'[1]final 5-J'!A25</f>
        <v>15</v>
      </c>
      <c r="B69" s="50"/>
      <c r="C69" s="93"/>
      <c r="D69" s="76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56"/>
      <c r="AD69" s="49"/>
      <c r="AE69" s="49"/>
      <c r="AF69" s="56"/>
      <c r="AG69" s="56"/>
      <c r="AH69" s="56"/>
      <c r="AI69" s="95"/>
      <c r="AO69" s="57"/>
    </row>
    <row r="70" ht="15" spans="1:41">
      <c r="A70" s="41" t="str">
        <f>'[1]final 5-J'!A26</f>
        <v>16</v>
      </c>
      <c r="B70" s="45"/>
      <c r="C70" s="45"/>
      <c r="D70" s="41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47"/>
      <c r="AD70" s="47"/>
      <c r="AE70" s="47"/>
      <c r="AF70" s="47"/>
      <c r="AG70" s="47"/>
      <c r="AH70" s="47"/>
      <c r="AI70" s="90"/>
      <c r="AO70" s="4"/>
    </row>
    <row r="71" ht="15" spans="1:41">
      <c r="A71" s="41" t="str">
        <f>'[1]final 5-J'!A27</f>
        <v>17</v>
      </c>
      <c r="B71" s="45"/>
      <c r="C71" s="45"/>
      <c r="D71" s="41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47"/>
      <c r="AD71" s="47"/>
      <c r="AE71" s="47"/>
      <c r="AF71" s="47"/>
      <c r="AG71" s="47"/>
      <c r="AH71" s="47"/>
      <c r="AI71" s="90"/>
      <c r="AO71" s="4"/>
    </row>
    <row r="72" ht="15" spans="1:41">
      <c r="A72" s="41" t="str">
        <f>'[1]final 5-J'!A28</f>
        <v>18</v>
      </c>
      <c r="B72" s="45"/>
      <c r="C72" s="45"/>
      <c r="D72" s="41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47"/>
      <c r="AD72" s="47"/>
      <c r="AE72" s="47"/>
      <c r="AF72" s="47"/>
      <c r="AG72" s="47"/>
      <c r="AH72" s="47"/>
      <c r="AI72" s="90"/>
      <c r="AO72" s="4"/>
    </row>
    <row r="73" ht="15" spans="2:5">
      <c r="B73" s="45"/>
      <c r="C73" s="45"/>
      <c r="D73" s="41"/>
      <c r="E73" s="83"/>
    </row>
    <row r="74" s="4" customFormat="1" ht="15" spans="5:35">
      <c r="E74" s="59">
        <f t="shared" ref="E74:V74" si="11">COUNTIF(E55:E72,"OK")</f>
        <v>14</v>
      </c>
      <c r="F74" s="59">
        <f t="shared" si="11"/>
        <v>14</v>
      </c>
      <c r="G74" s="59">
        <f t="shared" si="11"/>
        <v>13</v>
      </c>
      <c r="H74" s="59">
        <f t="shared" si="11"/>
        <v>14</v>
      </c>
      <c r="I74" s="59">
        <f t="shared" si="11"/>
        <v>14</v>
      </c>
      <c r="J74" s="59">
        <f t="shared" si="11"/>
        <v>14</v>
      </c>
      <c r="K74" s="59">
        <f t="shared" si="11"/>
        <v>13</v>
      </c>
      <c r="L74" s="59">
        <f t="shared" si="11"/>
        <v>14</v>
      </c>
      <c r="M74" s="59">
        <f t="shared" si="11"/>
        <v>14</v>
      </c>
      <c r="N74" s="59">
        <f t="shared" si="11"/>
        <v>11</v>
      </c>
      <c r="O74" s="59">
        <f t="shared" si="11"/>
        <v>14</v>
      </c>
      <c r="P74" s="59">
        <f t="shared" si="11"/>
        <v>13</v>
      </c>
      <c r="Q74" s="59">
        <f t="shared" si="11"/>
        <v>0</v>
      </c>
      <c r="R74" s="59">
        <f t="shared" si="11"/>
        <v>14</v>
      </c>
      <c r="S74" s="59">
        <f t="shared" si="11"/>
        <v>13</v>
      </c>
      <c r="T74" s="59">
        <f t="shared" si="11"/>
        <v>14</v>
      </c>
      <c r="U74" s="59">
        <f t="shared" si="11"/>
        <v>14</v>
      </c>
      <c r="V74" s="59">
        <f t="shared" si="11"/>
        <v>13</v>
      </c>
      <c r="W74" s="59">
        <f t="shared" ref="W74:AH74" si="12">COUNTIF(W55:W69,"OK")</f>
        <v>14</v>
      </c>
      <c r="X74" s="59">
        <f t="shared" si="12"/>
        <v>14</v>
      </c>
      <c r="Y74" s="59">
        <f t="shared" si="12"/>
        <v>14</v>
      </c>
      <c r="Z74" s="59">
        <f t="shared" si="12"/>
        <v>13</v>
      </c>
      <c r="AA74" s="59">
        <f t="shared" si="12"/>
        <v>14</v>
      </c>
      <c r="AB74" s="59">
        <f t="shared" si="12"/>
        <v>14</v>
      </c>
      <c r="AC74" s="59">
        <f t="shared" si="12"/>
        <v>14</v>
      </c>
      <c r="AD74" s="59">
        <f t="shared" si="12"/>
        <v>14</v>
      </c>
      <c r="AE74" s="59">
        <f t="shared" si="12"/>
        <v>0</v>
      </c>
      <c r="AF74" s="59">
        <f t="shared" si="12"/>
        <v>0</v>
      </c>
      <c r="AG74" s="59">
        <f t="shared" si="12"/>
        <v>0</v>
      </c>
      <c r="AH74" s="59">
        <f t="shared" si="12"/>
        <v>0</v>
      </c>
      <c r="AI74" s="59"/>
    </row>
    <row r="75" s="2" customFormat="1" ht="18.75" spans="4:10">
      <c r="D75" s="63" t="s">
        <v>147</v>
      </c>
      <c r="E75" s="61"/>
      <c r="F75" s="61"/>
      <c r="H75" s="62"/>
      <c r="I75" s="66" t="s">
        <v>135</v>
      </c>
      <c r="J75" s="62" t="s">
        <v>148</v>
      </c>
    </row>
    <row r="76" ht="18" spans="2:10">
      <c r="B76" s="61"/>
      <c r="C76" s="61"/>
      <c r="D76" s="61"/>
      <c r="E76" s="62"/>
      <c r="I76" s="67" t="s">
        <v>135</v>
      </c>
      <c r="J76" s="62" t="s">
        <v>149</v>
      </c>
    </row>
    <row r="77" ht="21" spans="2:10">
      <c r="B77" s="65"/>
      <c r="C77" s="65"/>
      <c r="D77" s="63" t="s">
        <v>150</v>
      </c>
      <c r="E77" s="64"/>
      <c r="F77" s="64"/>
      <c r="I77" s="68"/>
      <c r="J77" s="62" t="s">
        <v>151</v>
      </c>
    </row>
    <row r="78" ht="18" spans="2:4">
      <c r="B78" s="64"/>
      <c r="C78" s="64"/>
      <c r="D78" s="64"/>
    </row>
  </sheetData>
  <mergeCells count="101">
    <mergeCell ref="A1:AE1"/>
    <mergeCell ref="E2:Y2"/>
    <mergeCell ref="Z2:AE2"/>
    <mergeCell ref="E3:G3"/>
    <mergeCell ref="H3:K3"/>
    <mergeCell ref="L3:O3"/>
    <mergeCell ref="P3:S3"/>
    <mergeCell ref="T3:V3"/>
    <mergeCell ref="W3:Y3"/>
    <mergeCell ref="B4:D4"/>
    <mergeCell ref="B5:D5"/>
    <mergeCell ref="B6:D6"/>
    <mergeCell ref="B7:D7"/>
    <mergeCell ref="B8:D8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D49:AE49"/>
    <mergeCell ref="E52:G52"/>
    <mergeCell ref="H52:J52"/>
    <mergeCell ref="K52:M52"/>
    <mergeCell ref="N52:P52"/>
    <mergeCell ref="Q52:S52"/>
    <mergeCell ref="T52:V52"/>
    <mergeCell ref="W52:Y52"/>
    <mergeCell ref="Z52:AB52"/>
    <mergeCell ref="AC52:AE52"/>
    <mergeCell ref="AF52:AH52"/>
    <mergeCell ref="AJ52:AL52"/>
    <mergeCell ref="AM52:AO52"/>
    <mergeCell ref="AP52:AR52"/>
    <mergeCell ref="AS52:AU52"/>
    <mergeCell ref="AV52:AX52"/>
    <mergeCell ref="AY52:BA52"/>
    <mergeCell ref="E75:F75"/>
    <mergeCell ref="B76:D76"/>
    <mergeCell ref="E77:F77"/>
    <mergeCell ref="B78:D78"/>
    <mergeCell ref="A2:A10"/>
    <mergeCell ref="E4:E10"/>
    <mergeCell ref="F4:F10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R4:R10"/>
    <mergeCell ref="S4:S10"/>
    <mergeCell ref="T4:T10"/>
    <mergeCell ref="U4:U10"/>
    <mergeCell ref="V4:V10"/>
    <mergeCell ref="W4:W10"/>
    <mergeCell ref="X4:X10"/>
    <mergeCell ref="Y4:Y10"/>
    <mergeCell ref="Z3:Z10"/>
    <mergeCell ref="AA3:AA10"/>
    <mergeCell ref="AB3:AB10"/>
    <mergeCell ref="AC3:AC10"/>
    <mergeCell ref="AD3:AD10"/>
    <mergeCell ref="AE3:AE10"/>
    <mergeCell ref="AF3:AF10"/>
    <mergeCell ref="AG3:AG10"/>
    <mergeCell ref="AH3:AH10"/>
    <mergeCell ref="B50:D52"/>
    <mergeCell ref="B9:D10"/>
  </mergeCells>
  <conditionalFormatting sqref="F42">
    <cfRule type="cellIs" dxfId="0" priority="13" stopIfTrue="1" operator="lessThan">
      <formula>11</formula>
    </cfRule>
    <cfRule type="cellIs" dxfId="1" priority="14" stopIfTrue="1" operator="greaterThan">
      <formula>10</formula>
    </cfRule>
    <cfRule type="cellIs" dxfId="2" priority="15" stopIfTrue="1" operator="lessThan">
      <formula>11</formula>
    </cfRule>
  </conditionalFormatting>
  <conditionalFormatting sqref="M42:N42">
    <cfRule type="cellIs" dxfId="0" priority="16" stopIfTrue="1" operator="lessThan">
      <formula>11</formula>
    </cfRule>
    <cfRule type="cellIs" dxfId="1" priority="17" stopIfTrue="1" operator="greaterThan">
      <formula>10</formula>
    </cfRule>
    <cfRule type="cellIs" dxfId="2" priority="18" stopIfTrue="1" operator="lessThan">
      <formula>11</formula>
    </cfRule>
  </conditionalFormatting>
  <conditionalFormatting sqref="X11:X43">
    <cfRule type="cellIs" dxfId="0" priority="40" stopIfTrue="1" operator="lessThan">
      <formula>11</formula>
    </cfRule>
    <cfRule type="cellIs" dxfId="1" priority="41" stopIfTrue="1" operator="greaterThan">
      <formula>10</formula>
    </cfRule>
    <cfRule type="cellIs" dxfId="2" priority="42" stopIfTrue="1" operator="lessThan">
      <formula>11</formula>
    </cfRule>
  </conditionalFormatting>
  <conditionalFormatting sqref="Y11:Y43">
    <cfRule type="cellIs" dxfId="3" priority="19" stopIfTrue="1" operator="lessThan">
      <formula>11</formula>
    </cfRule>
    <cfRule type="cellIs" dxfId="1" priority="20" stopIfTrue="1" operator="greaterThan">
      <formula>10</formula>
    </cfRule>
    <cfRule type="cellIs" dxfId="2" priority="21" stopIfTrue="1" operator="lessThan">
      <formula>11</formula>
    </cfRule>
  </conditionalFormatting>
  <conditionalFormatting sqref="Y13:Y43">
    <cfRule type="cellIs" dxfId="3" priority="22" stopIfTrue="1" operator="lessThan">
      <formula>11</formula>
    </cfRule>
    <cfRule type="cellIs" dxfId="1" priority="23" stopIfTrue="1" operator="greaterThan">
      <formula>10</formula>
    </cfRule>
    <cfRule type="cellIs" dxfId="2" priority="24" stopIfTrue="1" operator="lessThan">
      <formula>11</formula>
    </cfRule>
  </conditionalFormatting>
  <conditionalFormatting sqref="H11:K43">
    <cfRule type="cellIs" dxfId="0" priority="31" stopIfTrue="1" operator="lessThan">
      <formula>11</formula>
    </cfRule>
    <cfRule type="cellIs" dxfId="1" priority="32" stopIfTrue="1" operator="greaterThan">
      <formula>10</formula>
    </cfRule>
    <cfRule type="cellIs" dxfId="2" priority="33" stopIfTrue="1" operator="lessThan">
      <formula>11</formula>
    </cfRule>
  </conditionalFormatting>
  <conditionalFormatting sqref="W11:X43">
    <cfRule type="cellIs" dxfId="0" priority="34" stopIfTrue="1" operator="lessThan">
      <formula>11</formula>
    </cfRule>
    <cfRule type="cellIs" dxfId="1" priority="35" stopIfTrue="1" operator="greaterThan">
      <formula>10</formula>
    </cfRule>
    <cfRule type="cellIs" dxfId="2" priority="36" stopIfTrue="1" operator="lessThan">
      <formula>11</formula>
    </cfRule>
  </conditionalFormatting>
  <conditionalFormatting sqref="Z11:AI43">
    <cfRule type="cellIs" dxfId="1" priority="1" stopIfTrue="1" operator="greaterThan">
      <formula>10</formula>
    </cfRule>
    <cfRule type="cellIs" dxfId="4" priority="2" stopIfTrue="1" operator="lessThanOrEqual">
      <formula>10.9</formula>
    </cfRule>
  </conditionalFormatting>
  <printOptions horizontalCentered="1"/>
  <pageMargins left="0.31496062992126" right="0.31496062992126" top="0.748031496062992" bottom="0.748031496062992" header="0.31496062992126" footer="0.31496062992126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0"/>
  <sheetViews>
    <sheetView tabSelected="1" zoomScale="110" zoomScaleNormal="110" topLeftCell="A49" workbookViewId="0">
      <pane xSplit="4" ySplit="1" topLeftCell="E50" activePane="bottomRight" state="frozen"/>
      <selection/>
      <selection pane="topRight"/>
      <selection pane="bottomLeft"/>
      <selection pane="bottomRight" activeCell="AG77" sqref="AG77"/>
    </sheetView>
  </sheetViews>
  <sheetFormatPr defaultColWidth="10.752380952381" defaultRowHeight="15"/>
  <cols>
    <col min="1" max="1" width="3.87619047619048" customWidth="1"/>
    <col min="2" max="2" width="41.1238095238095" customWidth="1"/>
    <col min="3" max="3" width="16.6285714285714" hidden="1" customWidth="1"/>
    <col min="4" max="4" width="13.752380952381" hidden="1" customWidth="1"/>
    <col min="5" max="5" width="9.12380952380952" style="3" hidden="1" customWidth="1"/>
    <col min="6" max="6" width="11.1238095238095" style="3" hidden="1" customWidth="1"/>
    <col min="7" max="7" width="9.12380952380952" hidden="1" customWidth="1"/>
    <col min="8" max="8" width="9.12380952380952" style="3" hidden="1" customWidth="1"/>
    <col min="9" max="9" width="10" style="3" hidden="1" customWidth="1"/>
    <col min="10" max="10" width="9.12380952380952" style="3" hidden="1" customWidth="1"/>
    <col min="11" max="22" width="9.12380952380952" hidden="1" customWidth="1"/>
    <col min="23" max="34" width="9.12380952380952" customWidth="1"/>
    <col min="35" max="35" width="17.0095238095238" customWidth="1"/>
    <col min="40" max="41" width="10.752380952381" customWidth="1"/>
    <col min="42" max="42" width="10.752380952381" style="4"/>
  </cols>
  <sheetData>
    <row r="1" ht="15.75" hidden="1" customHeight="1" spans="1:34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6.5" hidden="1" customHeight="1" spans="1:34">
      <c r="A2" s="6" t="s">
        <v>49</v>
      </c>
      <c r="B2" s="7"/>
      <c r="C2" s="8" t="s">
        <v>50</v>
      </c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54" t="s">
        <v>51</v>
      </c>
      <c r="AA2" s="54"/>
      <c r="AB2" s="54"/>
      <c r="AC2" s="54"/>
      <c r="AD2" s="54"/>
      <c r="AE2" s="54"/>
      <c r="AF2" s="54" t="s">
        <v>51</v>
      </c>
      <c r="AG2" s="54"/>
      <c r="AH2" s="54"/>
    </row>
    <row r="3" ht="40.5" hidden="1" customHeight="1" spans="1:34">
      <c r="A3" s="6"/>
      <c r="B3" s="11"/>
      <c r="C3" s="12" t="s">
        <v>52</v>
      </c>
      <c r="D3" s="13"/>
      <c r="E3" s="14"/>
      <c r="F3" s="14"/>
      <c r="G3" s="15"/>
      <c r="H3" s="16" t="s">
        <v>53</v>
      </c>
      <c r="I3" s="14"/>
      <c r="J3" s="14"/>
      <c r="K3" s="15"/>
      <c r="L3" s="16" t="s">
        <v>54</v>
      </c>
      <c r="M3" s="14"/>
      <c r="N3" s="14"/>
      <c r="O3" s="15"/>
      <c r="P3" s="16" t="s">
        <v>55</v>
      </c>
      <c r="Q3" s="14"/>
      <c r="R3" s="14"/>
      <c r="S3" s="15"/>
      <c r="T3" s="16" t="s">
        <v>56</v>
      </c>
      <c r="U3" s="14"/>
      <c r="V3" s="14"/>
      <c r="W3" s="16" t="s">
        <v>57</v>
      </c>
      <c r="X3" s="14"/>
      <c r="Y3" s="14"/>
      <c r="Z3" s="55" t="s">
        <v>58</v>
      </c>
      <c r="AA3" s="55" t="s">
        <v>59</v>
      </c>
      <c r="AB3" s="55" t="s">
        <v>60</v>
      </c>
      <c r="AC3" s="55" t="s">
        <v>61</v>
      </c>
      <c r="AD3" s="55" t="s">
        <v>61</v>
      </c>
      <c r="AE3" s="55" t="s">
        <v>61</v>
      </c>
      <c r="AF3" s="55" t="s">
        <v>58</v>
      </c>
      <c r="AG3" s="55" t="s">
        <v>59</v>
      </c>
      <c r="AH3" s="55" t="s">
        <v>60</v>
      </c>
    </row>
    <row r="4" ht="21.95" hidden="1" customHeight="1" spans="1:34">
      <c r="A4" s="6"/>
      <c r="B4" s="17" t="s">
        <v>62</v>
      </c>
      <c r="C4" s="17"/>
      <c r="D4" s="17"/>
      <c r="E4" s="18" t="s">
        <v>63</v>
      </c>
      <c r="F4" s="19"/>
      <c r="G4" s="20" t="s">
        <v>64</v>
      </c>
      <c r="H4" s="18" t="s">
        <v>65</v>
      </c>
      <c r="I4" s="18" t="s">
        <v>66</v>
      </c>
      <c r="J4" s="18" t="s">
        <v>67</v>
      </c>
      <c r="K4" s="20" t="s">
        <v>68</v>
      </c>
      <c r="L4" s="18" t="s">
        <v>69</v>
      </c>
      <c r="M4" s="18" t="s">
        <v>70</v>
      </c>
      <c r="N4" s="19"/>
      <c r="O4" s="20" t="s">
        <v>71</v>
      </c>
      <c r="P4" s="18" t="s">
        <v>72</v>
      </c>
      <c r="Q4" s="18" t="s">
        <v>73</v>
      </c>
      <c r="R4" s="19"/>
      <c r="S4" s="20" t="s">
        <v>74</v>
      </c>
      <c r="T4" s="18" t="s">
        <v>75</v>
      </c>
      <c r="U4" s="19"/>
      <c r="V4" s="19"/>
      <c r="W4" s="18" t="s">
        <v>76</v>
      </c>
      <c r="X4" s="19"/>
      <c r="Y4" s="19"/>
      <c r="Z4" s="55"/>
      <c r="AA4" s="55"/>
      <c r="AB4" s="55"/>
      <c r="AC4" s="55"/>
      <c r="AD4" s="55"/>
      <c r="AE4" s="55"/>
      <c r="AF4" s="55"/>
      <c r="AG4" s="55"/>
      <c r="AH4" s="55"/>
    </row>
    <row r="5" ht="21.95" hidden="1" customHeight="1" spans="1:34">
      <c r="A5" s="6"/>
      <c r="B5" s="21" t="s">
        <v>77</v>
      </c>
      <c r="C5" s="21"/>
      <c r="D5" s="21"/>
      <c r="E5" s="22"/>
      <c r="F5" s="23"/>
      <c r="G5" s="24"/>
      <c r="H5" s="22"/>
      <c r="I5" s="22"/>
      <c r="J5" s="22"/>
      <c r="K5" s="24"/>
      <c r="L5" s="22"/>
      <c r="M5" s="22"/>
      <c r="N5" s="23"/>
      <c r="O5" s="24"/>
      <c r="P5" s="22"/>
      <c r="Q5" s="22"/>
      <c r="R5" s="23"/>
      <c r="S5" s="24"/>
      <c r="T5" s="22"/>
      <c r="U5" s="23"/>
      <c r="V5" s="23"/>
      <c r="W5" s="22"/>
      <c r="X5" s="23"/>
      <c r="Y5" s="23"/>
      <c r="Z5" s="55"/>
      <c r="AA5" s="55"/>
      <c r="AB5" s="55"/>
      <c r="AC5" s="55"/>
      <c r="AD5" s="55"/>
      <c r="AE5" s="55"/>
      <c r="AF5" s="55"/>
      <c r="AG5" s="55"/>
      <c r="AH5" s="55"/>
    </row>
    <row r="6" ht="17.25" hidden="1" customHeight="1" spans="1:34">
      <c r="A6" s="6"/>
      <c r="B6" s="21" t="s">
        <v>78</v>
      </c>
      <c r="C6" s="21"/>
      <c r="D6" s="21"/>
      <c r="E6" s="22"/>
      <c r="F6" s="23"/>
      <c r="G6" s="24"/>
      <c r="H6" s="22"/>
      <c r="I6" s="22"/>
      <c r="J6" s="22"/>
      <c r="K6" s="24"/>
      <c r="L6" s="22"/>
      <c r="M6" s="22"/>
      <c r="N6" s="23"/>
      <c r="O6" s="24"/>
      <c r="P6" s="22"/>
      <c r="Q6" s="22"/>
      <c r="R6" s="23"/>
      <c r="S6" s="24"/>
      <c r="T6" s="22"/>
      <c r="U6" s="23"/>
      <c r="V6" s="23"/>
      <c r="W6" s="22"/>
      <c r="X6" s="23"/>
      <c r="Y6" s="23"/>
      <c r="Z6" s="55"/>
      <c r="AA6" s="55"/>
      <c r="AB6" s="55"/>
      <c r="AC6" s="55"/>
      <c r="AD6" s="55"/>
      <c r="AE6" s="55"/>
      <c r="AF6" s="55"/>
      <c r="AG6" s="55"/>
      <c r="AH6" s="55"/>
    </row>
    <row r="7" ht="18.75" hidden="1" customHeight="1" spans="1:34">
      <c r="A7" s="6"/>
      <c r="B7" s="21" t="s">
        <v>79</v>
      </c>
      <c r="C7" s="21"/>
      <c r="D7" s="21"/>
      <c r="E7" s="22"/>
      <c r="F7" s="23"/>
      <c r="G7" s="24"/>
      <c r="H7" s="22"/>
      <c r="I7" s="22"/>
      <c r="J7" s="22"/>
      <c r="K7" s="24"/>
      <c r="L7" s="22"/>
      <c r="M7" s="22"/>
      <c r="N7" s="23"/>
      <c r="O7" s="24"/>
      <c r="P7" s="22"/>
      <c r="Q7" s="22"/>
      <c r="R7" s="23"/>
      <c r="S7" s="24"/>
      <c r="T7" s="22"/>
      <c r="U7" s="23"/>
      <c r="V7" s="23"/>
      <c r="W7" s="22"/>
      <c r="X7" s="23"/>
      <c r="Y7" s="23"/>
      <c r="Z7" s="55"/>
      <c r="AA7" s="55"/>
      <c r="AB7" s="55"/>
      <c r="AC7" s="55"/>
      <c r="AD7" s="55"/>
      <c r="AE7" s="55"/>
      <c r="AF7" s="55"/>
      <c r="AG7" s="55"/>
      <c r="AH7" s="55"/>
    </row>
    <row r="8" ht="20.25" hidden="1" customHeight="1" spans="1:34">
      <c r="A8" s="6"/>
      <c r="B8" s="25" t="s">
        <v>80</v>
      </c>
      <c r="C8" s="25"/>
      <c r="D8" s="25"/>
      <c r="E8" s="22"/>
      <c r="F8" s="23"/>
      <c r="G8" s="24"/>
      <c r="H8" s="22"/>
      <c r="I8" s="22"/>
      <c r="J8" s="22"/>
      <c r="K8" s="24"/>
      <c r="L8" s="22"/>
      <c r="M8" s="22"/>
      <c r="N8" s="23"/>
      <c r="O8" s="24"/>
      <c r="P8" s="22"/>
      <c r="Q8" s="22"/>
      <c r="R8" s="23"/>
      <c r="S8" s="24"/>
      <c r="T8" s="22"/>
      <c r="U8" s="23"/>
      <c r="V8" s="23"/>
      <c r="W8" s="22"/>
      <c r="X8" s="23"/>
      <c r="Y8" s="23"/>
      <c r="Z8" s="55"/>
      <c r="AA8" s="55"/>
      <c r="AB8" s="55"/>
      <c r="AC8" s="55"/>
      <c r="AD8" s="55"/>
      <c r="AE8" s="55"/>
      <c r="AF8" s="55"/>
      <c r="AG8" s="55"/>
      <c r="AH8" s="55"/>
    </row>
    <row r="9" ht="11.25" hidden="1" customHeight="1" spans="1:34">
      <c r="A9" s="6"/>
      <c r="B9" s="26" t="s">
        <v>81</v>
      </c>
      <c r="C9" s="26"/>
      <c r="D9" s="27"/>
      <c r="E9" s="22"/>
      <c r="F9" s="23"/>
      <c r="G9" s="24"/>
      <c r="H9" s="22"/>
      <c r="I9" s="22"/>
      <c r="J9" s="22"/>
      <c r="K9" s="24"/>
      <c r="L9" s="22"/>
      <c r="M9" s="22"/>
      <c r="N9" s="23"/>
      <c r="O9" s="24"/>
      <c r="P9" s="22"/>
      <c r="Q9" s="22"/>
      <c r="R9" s="23"/>
      <c r="S9" s="24"/>
      <c r="T9" s="22"/>
      <c r="U9" s="23"/>
      <c r="V9" s="23"/>
      <c r="W9" s="22"/>
      <c r="X9" s="23"/>
      <c r="Y9" s="23"/>
      <c r="Z9" s="55"/>
      <c r="AA9" s="55"/>
      <c r="AB9" s="55"/>
      <c r="AC9" s="55"/>
      <c r="AD9" s="55"/>
      <c r="AE9" s="55"/>
      <c r="AF9" s="55"/>
      <c r="AG9" s="55"/>
      <c r="AH9" s="55"/>
    </row>
    <row r="10" hidden="1" customHeight="1" spans="1:34">
      <c r="A10" s="6"/>
      <c r="B10" s="26"/>
      <c r="C10" s="26"/>
      <c r="D10" s="26"/>
      <c r="E10" s="28"/>
      <c r="F10" s="29"/>
      <c r="G10" s="30"/>
      <c r="H10" s="28"/>
      <c r="I10" s="28"/>
      <c r="J10" s="28"/>
      <c r="K10" s="30"/>
      <c r="L10" s="28"/>
      <c r="M10" s="28"/>
      <c r="N10" s="29"/>
      <c r="O10" s="30"/>
      <c r="P10" s="28"/>
      <c r="Q10" s="28"/>
      <c r="R10" s="29"/>
      <c r="S10" s="30"/>
      <c r="T10" s="28"/>
      <c r="U10" s="29"/>
      <c r="V10" s="29"/>
      <c r="W10" s="28"/>
      <c r="X10" s="29"/>
      <c r="Y10" s="29"/>
      <c r="Z10" s="55"/>
      <c r="AA10" s="55"/>
      <c r="AB10" s="55"/>
      <c r="AC10" s="55"/>
      <c r="AD10" s="55"/>
      <c r="AE10" s="55"/>
      <c r="AF10" s="55"/>
      <c r="AG10" s="55"/>
      <c r="AH10" s="55"/>
    </row>
    <row r="11" ht="12" hidden="1" customHeight="1" spans="1:34">
      <c r="A11" s="31" t="s">
        <v>82</v>
      </c>
      <c r="B11" s="32"/>
      <c r="C11" s="32"/>
      <c r="D11" s="32"/>
      <c r="E11" s="33">
        <v>16</v>
      </c>
      <c r="F11" s="33"/>
      <c r="G11" s="33">
        <f t="shared" ref="G11:G43" si="0">ROUND(AVERAGE(E11:F11),0)</f>
        <v>16</v>
      </c>
      <c r="H11" s="33"/>
      <c r="I11" s="33"/>
      <c r="J11" s="33"/>
      <c r="K11" s="33" t="e">
        <f t="shared" ref="K11:K43" si="1">ROUND(AVERAGE(H11:J11),0)</f>
        <v>#DIV/0!</v>
      </c>
      <c r="L11" s="33"/>
      <c r="M11" s="33"/>
      <c r="N11" s="33"/>
      <c r="O11" s="33" t="e">
        <f t="shared" ref="O11:O43" si="2">ROUND(AVERAGE(L11:N11),)</f>
        <v>#DIV/0!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>
        <f t="shared" ref="Z11:Z43" si="3">G11</f>
        <v>16</v>
      </c>
      <c r="AA11" s="33" t="e">
        <f t="shared" ref="AA11:AA43" si="4">K11</f>
        <v>#DIV/0!</v>
      </c>
      <c r="AB11" s="33" t="e">
        <f t="shared" ref="AB11:AB43" si="5">O11</f>
        <v>#DIV/0!</v>
      </c>
      <c r="AC11" s="33"/>
      <c r="AD11" s="33"/>
      <c r="AE11" s="33" t="e">
        <f>#REF!</f>
        <v>#REF!</v>
      </c>
      <c r="AF11" s="33">
        <f t="shared" ref="AF11:AF43" si="6">M11</f>
        <v>0</v>
      </c>
      <c r="AG11" s="33">
        <f t="shared" ref="AG11:AG43" si="7">Q11</f>
        <v>0</v>
      </c>
      <c r="AH11" s="33">
        <f t="shared" ref="AH11:AH43" si="8">U11</f>
        <v>0</v>
      </c>
    </row>
    <row r="12" ht="12" hidden="1" customHeight="1" spans="1:34">
      <c r="A12" s="31" t="s">
        <v>83</v>
      </c>
      <c r="B12" s="32"/>
      <c r="C12" s="32"/>
      <c r="D12" s="32"/>
      <c r="E12" s="33"/>
      <c r="F12" s="33"/>
      <c r="G12" s="33" t="e">
        <f t="shared" si="0"/>
        <v>#DIV/0!</v>
      </c>
      <c r="H12" s="33"/>
      <c r="I12" s="33"/>
      <c r="J12" s="33"/>
      <c r="K12" s="33" t="e">
        <f t="shared" si="1"/>
        <v>#DIV/0!</v>
      </c>
      <c r="L12" s="33"/>
      <c r="M12" s="33"/>
      <c r="N12" s="33"/>
      <c r="O12" s="33" t="e">
        <f t="shared" si="2"/>
        <v>#DIV/0!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 t="e">
        <f t="shared" si="3"/>
        <v>#DIV/0!</v>
      </c>
      <c r="AA12" s="33" t="e">
        <f t="shared" si="4"/>
        <v>#DIV/0!</v>
      </c>
      <c r="AB12" s="33" t="e">
        <f t="shared" si="5"/>
        <v>#DIV/0!</v>
      </c>
      <c r="AC12" s="33"/>
      <c r="AD12" s="33"/>
      <c r="AE12" s="33" t="e">
        <f>#REF!</f>
        <v>#REF!</v>
      </c>
      <c r="AF12" s="33">
        <f t="shared" si="6"/>
        <v>0</v>
      </c>
      <c r="AG12" s="33">
        <f t="shared" si="7"/>
        <v>0</v>
      </c>
      <c r="AH12" s="33">
        <f t="shared" si="8"/>
        <v>0</v>
      </c>
    </row>
    <row r="13" ht="12" hidden="1" customHeight="1" spans="1:34">
      <c r="A13" s="31" t="s">
        <v>84</v>
      </c>
      <c r="B13" s="32"/>
      <c r="C13" s="32"/>
      <c r="D13" s="32"/>
      <c r="E13" s="33"/>
      <c r="F13" s="33"/>
      <c r="G13" s="33" t="e">
        <f t="shared" si="0"/>
        <v>#DIV/0!</v>
      </c>
      <c r="H13" s="33"/>
      <c r="I13" s="33"/>
      <c r="J13" s="33"/>
      <c r="K13" s="33" t="e">
        <f t="shared" si="1"/>
        <v>#DIV/0!</v>
      </c>
      <c r="L13" s="33"/>
      <c r="M13" s="33"/>
      <c r="N13" s="33"/>
      <c r="O13" s="33" t="e">
        <f t="shared" si="2"/>
        <v>#DIV/0!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 t="e">
        <f t="shared" si="3"/>
        <v>#DIV/0!</v>
      </c>
      <c r="AA13" s="33" t="e">
        <f t="shared" si="4"/>
        <v>#DIV/0!</v>
      </c>
      <c r="AB13" s="33" t="e">
        <f t="shared" si="5"/>
        <v>#DIV/0!</v>
      </c>
      <c r="AC13" s="33"/>
      <c r="AD13" s="33"/>
      <c r="AE13" s="33" t="e">
        <f>#REF!</f>
        <v>#REF!</v>
      </c>
      <c r="AF13" s="33">
        <f t="shared" si="6"/>
        <v>0</v>
      </c>
      <c r="AG13" s="33">
        <f t="shared" si="7"/>
        <v>0</v>
      </c>
      <c r="AH13" s="33">
        <f t="shared" si="8"/>
        <v>0</v>
      </c>
    </row>
    <row r="14" ht="12" hidden="1" customHeight="1" spans="1:34">
      <c r="A14" s="31" t="s">
        <v>85</v>
      </c>
      <c r="B14" s="32"/>
      <c r="C14" s="32"/>
      <c r="D14" s="32"/>
      <c r="E14" s="33"/>
      <c r="F14" s="33"/>
      <c r="G14" s="33" t="e">
        <f t="shared" si="0"/>
        <v>#DIV/0!</v>
      </c>
      <c r="H14" s="33"/>
      <c r="I14" s="33"/>
      <c r="J14" s="33"/>
      <c r="K14" s="33" t="e">
        <f t="shared" si="1"/>
        <v>#DIV/0!</v>
      </c>
      <c r="L14" s="33"/>
      <c r="M14" s="33"/>
      <c r="N14" s="33"/>
      <c r="O14" s="33" t="e">
        <f t="shared" si="2"/>
        <v>#DIV/0!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 t="e">
        <f t="shared" si="3"/>
        <v>#DIV/0!</v>
      </c>
      <c r="AA14" s="33" t="e">
        <f t="shared" si="4"/>
        <v>#DIV/0!</v>
      </c>
      <c r="AB14" s="33" t="e">
        <f t="shared" si="5"/>
        <v>#DIV/0!</v>
      </c>
      <c r="AC14" s="33"/>
      <c r="AD14" s="33"/>
      <c r="AE14" s="33" t="e">
        <f>#REF!</f>
        <v>#REF!</v>
      </c>
      <c r="AF14" s="33">
        <f t="shared" si="6"/>
        <v>0</v>
      </c>
      <c r="AG14" s="33">
        <f t="shared" si="7"/>
        <v>0</v>
      </c>
      <c r="AH14" s="33">
        <f t="shared" si="8"/>
        <v>0</v>
      </c>
    </row>
    <row r="15" ht="12" hidden="1" customHeight="1" spans="1:34">
      <c r="A15" s="31" t="s">
        <v>86</v>
      </c>
      <c r="B15" s="32"/>
      <c r="C15" s="32"/>
      <c r="D15" s="32"/>
      <c r="E15" s="33"/>
      <c r="F15" s="33"/>
      <c r="G15" s="33" t="e">
        <f t="shared" si="0"/>
        <v>#DIV/0!</v>
      </c>
      <c r="H15" s="33"/>
      <c r="I15" s="33"/>
      <c r="J15" s="33"/>
      <c r="K15" s="33" t="e">
        <f t="shared" si="1"/>
        <v>#DIV/0!</v>
      </c>
      <c r="L15" s="33"/>
      <c r="M15" s="33"/>
      <c r="N15" s="33"/>
      <c r="O15" s="33" t="e">
        <f t="shared" si="2"/>
        <v>#DIV/0!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 t="e">
        <f t="shared" si="3"/>
        <v>#DIV/0!</v>
      </c>
      <c r="AA15" s="33" t="e">
        <f t="shared" si="4"/>
        <v>#DIV/0!</v>
      </c>
      <c r="AB15" s="33" t="e">
        <f t="shared" si="5"/>
        <v>#DIV/0!</v>
      </c>
      <c r="AC15" s="33"/>
      <c r="AD15" s="33"/>
      <c r="AE15" s="33" t="e">
        <f>#REF!</f>
        <v>#REF!</v>
      </c>
      <c r="AF15" s="33">
        <f t="shared" si="6"/>
        <v>0</v>
      </c>
      <c r="AG15" s="33">
        <f t="shared" si="7"/>
        <v>0</v>
      </c>
      <c r="AH15" s="33">
        <f t="shared" si="8"/>
        <v>0</v>
      </c>
    </row>
    <row r="16" ht="12" hidden="1" customHeight="1" spans="1:34">
      <c r="A16" s="31" t="s">
        <v>87</v>
      </c>
      <c r="B16" s="32"/>
      <c r="C16" s="32"/>
      <c r="D16" s="32"/>
      <c r="E16" s="33"/>
      <c r="F16" s="33"/>
      <c r="G16" s="33" t="e">
        <f t="shared" si="0"/>
        <v>#DIV/0!</v>
      </c>
      <c r="H16" s="33"/>
      <c r="I16" s="33"/>
      <c r="J16" s="33"/>
      <c r="K16" s="33" t="e">
        <f t="shared" si="1"/>
        <v>#DIV/0!</v>
      </c>
      <c r="L16" s="33"/>
      <c r="M16" s="33"/>
      <c r="N16" s="33"/>
      <c r="O16" s="33" t="e">
        <f t="shared" si="2"/>
        <v>#DIV/0!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 t="e">
        <f t="shared" si="3"/>
        <v>#DIV/0!</v>
      </c>
      <c r="AA16" s="33" t="e">
        <f t="shared" si="4"/>
        <v>#DIV/0!</v>
      </c>
      <c r="AB16" s="33" t="e">
        <f t="shared" si="5"/>
        <v>#DIV/0!</v>
      </c>
      <c r="AC16" s="33"/>
      <c r="AD16" s="33"/>
      <c r="AE16" s="33" t="e">
        <f>#REF!</f>
        <v>#REF!</v>
      </c>
      <c r="AF16" s="33">
        <f t="shared" si="6"/>
        <v>0</v>
      </c>
      <c r="AG16" s="33">
        <f t="shared" si="7"/>
        <v>0</v>
      </c>
      <c r="AH16" s="33">
        <f t="shared" si="8"/>
        <v>0</v>
      </c>
    </row>
    <row r="17" ht="12" hidden="1" customHeight="1" spans="1:34">
      <c r="A17" s="31" t="s">
        <v>88</v>
      </c>
      <c r="B17" s="32"/>
      <c r="C17" s="32"/>
      <c r="D17" s="32"/>
      <c r="E17" s="33"/>
      <c r="F17" s="33"/>
      <c r="G17" s="33" t="e">
        <f t="shared" si="0"/>
        <v>#DIV/0!</v>
      </c>
      <c r="H17" s="33"/>
      <c r="I17" s="33"/>
      <c r="J17" s="33"/>
      <c r="K17" s="33" t="e">
        <f t="shared" si="1"/>
        <v>#DIV/0!</v>
      </c>
      <c r="L17" s="33"/>
      <c r="M17" s="33"/>
      <c r="N17" s="33"/>
      <c r="O17" s="33" t="e">
        <f t="shared" si="2"/>
        <v>#DIV/0!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 t="e">
        <f t="shared" si="3"/>
        <v>#DIV/0!</v>
      </c>
      <c r="AA17" s="33" t="e">
        <f t="shared" si="4"/>
        <v>#DIV/0!</v>
      </c>
      <c r="AB17" s="33" t="e">
        <f t="shared" si="5"/>
        <v>#DIV/0!</v>
      </c>
      <c r="AC17" s="33"/>
      <c r="AD17" s="33"/>
      <c r="AE17" s="33" t="e">
        <f>#REF!</f>
        <v>#REF!</v>
      </c>
      <c r="AF17" s="33">
        <f t="shared" si="6"/>
        <v>0</v>
      </c>
      <c r="AG17" s="33">
        <f t="shared" si="7"/>
        <v>0</v>
      </c>
      <c r="AH17" s="33">
        <f t="shared" si="8"/>
        <v>0</v>
      </c>
    </row>
    <row r="18" ht="12" hidden="1" customHeight="1" spans="1:34">
      <c r="A18" s="31" t="s">
        <v>89</v>
      </c>
      <c r="B18" s="32"/>
      <c r="C18" s="32"/>
      <c r="D18" s="32"/>
      <c r="E18" s="33"/>
      <c r="F18" s="33"/>
      <c r="G18" s="33" t="e">
        <f t="shared" si="0"/>
        <v>#DIV/0!</v>
      </c>
      <c r="H18" s="33"/>
      <c r="I18" s="33"/>
      <c r="J18" s="33"/>
      <c r="K18" s="33" t="e">
        <f t="shared" si="1"/>
        <v>#DIV/0!</v>
      </c>
      <c r="L18" s="33"/>
      <c r="M18" s="33"/>
      <c r="N18" s="33"/>
      <c r="O18" s="33" t="e">
        <f t="shared" si="2"/>
        <v>#DIV/0!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 t="e">
        <f t="shared" si="3"/>
        <v>#DIV/0!</v>
      </c>
      <c r="AA18" s="33" t="e">
        <f t="shared" si="4"/>
        <v>#DIV/0!</v>
      </c>
      <c r="AB18" s="33" t="e">
        <f t="shared" si="5"/>
        <v>#DIV/0!</v>
      </c>
      <c r="AC18" s="33"/>
      <c r="AD18" s="33"/>
      <c r="AE18" s="33" t="e">
        <f>#REF!</f>
        <v>#REF!</v>
      </c>
      <c r="AF18" s="33">
        <f t="shared" si="6"/>
        <v>0</v>
      </c>
      <c r="AG18" s="33">
        <f t="shared" si="7"/>
        <v>0</v>
      </c>
      <c r="AH18" s="33">
        <f t="shared" si="8"/>
        <v>0</v>
      </c>
    </row>
    <row r="19" ht="12" hidden="1" customHeight="1" spans="1:34">
      <c r="A19" s="31" t="s">
        <v>90</v>
      </c>
      <c r="B19" s="32"/>
      <c r="C19" s="32"/>
      <c r="D19" s="32"/>
      <c r="E19" s="33"/>
      <c r="F19" s="33"/>
      <c r="G19" s="33" t="e">
        <f t="shared" si="0"/>
        <v>#DIV/0!</v>
      </c>
      <c r="H19" s="33"/>
      <c r="I19" s="33"/>
      <c r="J19" s="33"/>
      <c r="K19" s="33" t="e">
        <f t="shared" si="1"/>
        <v>#DIV/0!</v>
      </c>
      <c r="L19" s="33"/>
      <c r="M19" s="33"/>
      <c r="N19" s="33"/>
      <c r="O19" s="33" t="e">
        <f t="shared" si="2"/>
        <v>#DIV/0!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 t="e">
        <f t="shared" si="3"/>
        <v>#DIV/0!</v>
      </c>
      <c r="AA19" s="33" t="e">
        <f t="shared" si="4"/>
        <v>#DIV/0!</v>
      </c>
      <c r="AB19" s="33" t="e">
        <f t="shared" si="5"/>
        <v>#DIV/0!</v>
      </c>
      <c r="AC19" s="33"/>
      <c r="AD19" s="33"/>
      <c r="AE19" s="33" t="e">
        <f>#REF!</f>
        <v>#REF!</v>
      </c>
      <c r="AF19" s="33">
        <f t="shared" si="6"/>
        <v>0</v>
      </c>
      <c r="AG19" s="33">
        <f t="shared" si="7"/>
        <v>0</v>
      </c>
      <c r="AH19" s="33">
        <f t="shared" si="8"/>
        <v>0</v>
      </c>
    </row>
    <row r="20" ht="12" hidden="1" customHeight="1" spans="1:34">
      <c r="A20" s="31" t="s">
        <v>91</v>
      </c>
      <c r="B20" s="32"/>
      <c r="C20" s="32"/>
      <c r="D20" s="32"/>
      <c r="E20" s="33"/>
      <c r="F20" s="33"/>
      <c r="G20" s="33" t="e">
        <f t="shared" si="0"/>
        <v>#DIV/0!</v>
      </c>
      <c r="H20" s="33"/>
      <c r="I20" s="33"/>
      <c r="J20" s="33"/>
      <c r="K20" s="33" t="e">
        <f t="shared" si="1"/>
        <v>#DIV/0!</v>
      </c>
      <c r="L20" s="33"/>
      <c r="M20" s="33"/>
      <c r="N20" s="33"/>
      <c r="O20" s="33" t="e">
        <f t="shared" si="2"/>
        <v>#DIV/0!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 t="e">
        <f t="shared" si="3"/>
        <v>#DIV/0!</v>
      </c>
      <c r="AA20" s="33" t="e">
        <f t="shared" si="4"/>
        <v>#DIV/0!</v>
      </c>
      <c r="AB20" s="33" t="e">
        <f t="shared" si="5"/>
        <v>#DIV/0!</v>
      </c>
      <c r="AC20" s="33"/>
      <c r="AD20" s="33"/>
      <c r="AE20" s="33" t="e">
        <f>#REF!</f>
        <v>#REF!</v>
      </c>
      <c r="AF20" s="33">
        <f t="shared" si="6"/>
        <v>0</v>
      </c>
      <c r="AG20" s="33">
        <f t="shared" si="7"/>
        <v>0</v>
      </c>
      <c r="AH20" s="33">
        <f t="shared" si="8"/>
        <v>0</v>
      </c>
    </row>
    <row r="21" ht="12" hidden="1" customHeight="1" spans="1:34">
      <c r="A21" s="31" t="s">
        <v>92</v>
      </c>
      <c r="B21" s="32"/>
      <c r="C21" s="32"/>
      <c r="D21" s="32"/>
      <c r="E21" s="33"/>
      <c r="F21" s="33"/>
      <c r="G21" s="33" t="e">
        <f t="shared" si="0"/>
        <v>#DIV/0!</v>
      </c>
      <c r="H21" s="33"/>
      <c r="I21" s="33"/>
      <c r="J21" s="33"/>
      <c r="K21" s="33" t="e">
        <f t="shared" si="1"/>
        <v>#DIV/0!</v>
      </c>
      <c r="L21" s="33"/>
      <c r="M21" s="33"/>
      <c r="N21" s="33"/>
      <c r="O21" s="33" t="e">
        <f t="shared" si="2"/>
        <v>#DIV/0!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 t="e">
        <f t="shared" si="3"/>
        <v>#DIV/0!</v>
      </c>
      <c r="AA21" s="33" t="e">
        <f t="shared" si="4"/>
        <v>#DIV/0!</v>
      </c>
      <c r="AB21" s="33" t="e">
        <f t="shared" si="5"/>
        <v>#DIV/0!</v>
      </c>
      <c r="AC21" s="33"/>
      <c r="AD21" s="33"/>
      <c r="AE21" s="33" t="e">
        <f>#REF!</f>
        <v>#REF!</v>
      </c>
      <c r="AF21" s="33">
        <f t="shared" si="6"/>
        <v>0</v>
      </c>
      <c r="AG21" s="33">
        <f t="shared" si="7"/>
        <v>0</v>
      </c>
      <c r="AH21" s="33">
        <f t="shared" si="8"/>
        <v>0</v>
      </c>
    </row>
    <row r="22" ht="12" hidden="1" customHeight="1" spans="1:34">
      <c r="A22" s="31" t="s">
        <v>93</v>
      </c>
      <c r="B22" s="32"/>
      <c r="C22" s="32"/>
      <c r="D22" s="32"/>
      <c r="E22" s="33"/>
      <c r="F22" s="33"/>
      <c r="G22" s="33" t="e">
        <f t="shared" si="0"/>
        <v>#DIV/0!</v>
      </c>
      <c r="H22" s="33"/>
      <c r="I22" s="33"/>
      <c r="J22" s="33"/>
      <c r="K22" s="33" t="e">
        <f t="shared" si="1"/>
        <v>#DIV/0!</v>
      </c>
      <c r="L22" s="33"/>
      <c r="M22" s="33"/>
      <c r="N22" s="33"/>
      <c r="O22" s="33" t="e">
        <f t="shared" si="2"/>
        <v>#DIV/0!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 t="e">
        <f t="shared" si="3"/>
        <v>#DIV/0!</v>
      </c>
      <c r="AA22" s="33" t="e">
        <f t="shared" si="4"/>
        <v>#DIV/0!</v>
      </c>
      <c r="AB22" s="33" t="e">
        <f t="shared" si="5"/>
        <v>#DIV/0!</v>
      </c>
      <c r="AC22" s="33"/>
      <c r="AD22" s="33"/>
      <c r="AE22" s="33" t="e">
        <f>#REF!</f>
        <v>#REF!</v>
      </c>
      <c r="AF22" s="33">
        <f t="shared" si="6"/>
        <v>0</v>
      </c>
      <c r="AG22" s="33">
        <f t="shared" si="7"/>
        <v>0</v>
      </c>
      <c r="AH22" s="33">
        <f t="shared" si="8"/>
        <v>0</v>
      </c>
    </row>
    <row r="23" ht="12" hidden="1" customHeight="1" spans="1:34">
      <c r="A23" s="31" t="s">
        <v>94</v>
      </c>
      <c r="B23" s="32"/>
      <c r="C23" s="32"/>
      <c r="D23" s="32"/>
      <c r="E23" s="33"/>
      <c r="F23" s="33"/>
      <c r="G23" s="33" t="e">
        <f t="shared" si="0"/>
        <v>#DIV/0!</v>
      </c>
      <c r="H23" s="33"/>
      <c r="I23" s="33"/>
      <c r="J23" s="33"/>
      <c r="K23" s="33" t="e">
        <f t="shared" si="1"/>
        <v>#DIV/0!</v>
      </c>
      <c r="L23" s="33"/>
      <c r="M23" s="33"/>
      <c r="N23" s="33"/>
      <c r="O23" s="33" t="e">
        <f t="shared" si="2"/>
        <v>#DIV/0!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 t="e">
        <f t="shared" si="3"/>
        <v>#DIV/0!</v>
      </c>
      <c r="AA23" s="33" t="e">
        <f t="shared" si="4"/>
        <v>#DIV/0!</v>
      </c>
      <c r="AB23" s="33" t="e">
        <f t="shared" si="5"/>
        <v>#DIV/0!</v>
      </c>
      <c r="AC23" s="33"/>
      <c r="AD23" s="33"/>
      <c r="AE23" s="33" t="e">
        <f>#REF!</f>
        <v>#REF!</v>
      </c>
      <c r="AF23" s="33">
        <f t="shared" si="6"/>
        <v>0</v>
      </c>
      <c r="AG23" s="33">
        <f t="shared" si="7"/>
        <v>0</v>
      </c>
      <c r="AH23" s="33">
        <f t="shared" si="8"/>
        <v>0</v>
      </c>
    </row>
    <row r="24" ht="12" hidden="1" customHeight="1" spans="1:34">
      <c r="A24" s="31" t="s">
        <v>95</v>
      </c>
      <c r="B24" s="32"/>
      <c r="C24" s="32"/>
      <c r="D24" s="32"/>
      <c r="E24" s="33"/>
      <c r="F24" s="33"/>
      <c r="G24" s="33" t="e">
        <f t="shared" si="0"/>
        <v>#DIV/0!</v>
      </c>
      <c r="H24" s="33"/>
      <c r="I24" s="33"/>
      <c r="J24" s="33"/>
      <c r="K24" s="33" t="e">
        <f t="shared" si="1"/>
        <v>#DIV/0!</v>
      </c>
      <c r="L24" s="33"/>
      <c r="M24" s="33"/>
      <c r="N24" s="33"/>
      <c r="O24" s="33" t="e">
        <f t="shared" si="2"/>
        <v>#DIV/0!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 t="e">
        <f t="shared" si="3"/>
        <v>#DIV/0!</v>
      </c>
      <c r="AA24" s="33" t="e">
        <f t="shared" si="4"/>
        <v>#DIV/0!</v>
      </c>
      <c r="AB24" s="33" t="e">
        <f t="shared" si="5"/>
        <v>#DIV/0!</v>
      </c>
      <c r="AC24" s="33"/>
      <c r="AD24" s="33"/>
      <c r="AE24" s="33" t="e">
        <f>#REF!</f>
        <v>#REF!</v>
      </c>
      <c r="AF24" s="33">
        <f t="shared" si="6"/>
        <v>0</v>
      </c>
      <c r="AG24" s="33">
        <f t="shared" si="7"/>
        <v>0</v>
      </c>
      <c r="AH24" s="33">
        <f t="shared" si="8"/>
        <v>0</v>
      </c>
    </row>
    <row r="25" ht="12" hidden="1" customHeight="1" spans="1:34">
      <c r="A25" s="31" t="s">
        <v>96</v>
      </c>
      <c r="B25" s="32"/>
      <c r="C25" s="32"/>
      <c r="D25" s="32"/>
      <c r="E25" s="33"/>
      <c r="F25" s="33"/>
      <c r="G25" s="33" t="e">
        <f t="shared" si="0"/>
        <v>#DIV/0!</v>
      </c>
      <c r="H25" s="33"/>
      <c r="I25" s="33"/>
      <c r="J25" s="33"/>
      <c r="K25" s="33" t="e">
        <f t="shared" si="1"/>
        <v>#DIV/0!</v>
      </c>
      <c r="L25" s="33"/>
      <c r="M25" s="33"/>
      <c r="N25" s="33"/>
      <c r="O25" s="33" t="e">
        <f t="shared" si="2"/>
        <v>#DIV/0!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 t="e">
        <f t="shared" si="3"/>
        <v>#DIV/0!</v>
      </c>
      <c r="AA25" s="33" t="e">
        <f t="shared" si="4"/>
        <v>#DIV/0!</v>
      </c>
      <c r="AB25" s="33" t="e">
        <f t="shared" si="5"/>
        <v>#DIV/0!</v>
      </c>
      <c r="AC25" s="33"/>
      <c r="AD25" s="33"/>
      <c r="AE25" s="33" t="e">
        <f>#REF!</f>
        <v>#REF!</v>
      </c>
      <c r="AF25" s="33">
        <f t="shared" si="6"/>
        <v>0</v>
      </c>
      <c r="AG25" s="33">
        <f t="shared" si="7"/>
        <v>0</v>
      </c>
      <c r="AH25" s="33">
        <f t="shared" si="8"/>
        <v>0</v>
      </c>
    </row>
    <row r="26" ht="12" hidden="1" customHeight="1" spans="1:34">
      <c r="A26" s="31" t="s">
        <v>97</v>
      </c>
      <c r="B26" s="32"/>
      <c r="C26" s="32"/>
      <c r="D26" s="32"/>
      <c r="E26" s="33"/>
      <c r="F26" s="33"/>
      <c r="G26" s="33" t="e">
        <f t="shared" si="0"/>
        <v>#DIV/0!</v>
      </c>
      <c r="H26" s="33"/>
      <c r="I26" s="33"/>
      <c r="J26" s="33"/>
      <c r="K26" s="33" t="e">
        <f t="shared" si="1"/>
        <v>#DIV/0!</v>
      </c>
      <c r="L26" s="33"/>
      <c r="M26" s="33"/>
      <c r="N26" s="33"/>
      <c r="O26" s="33" t="e">
        <f t="shared" si="2"/>
        <v>#DIV/0!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 t="e">
        <f t="shared" si="3"/>
        <v>#DIV/0!</v>
      </c>
      <c r="AA26" s="33" t="e">
        <f t="shared" si="4"/>
        <v>#DIV/0!</v>
      </c>
      <c r="AB26" s="33" t="e">
        <f t="shared" si="5"/>
        <v>#DIV/0!</v>
      </c>
      <c r="AC26" s="33"/>
      <c r="AD26" s="33"/>
      <c r="AE26" s="33" t="e">
        <f>#REF!</f>
        <v>#REF!</v>
      </c>
      <c r="AF26" s="33">
        <f t="shared" si="6"/>
        <v>0</v>
      </c>
      <c r="AG26" s="33">
        <f t="shared" si="7"/>
        <v>0</v>
      </c>
      <c r="AH26" s="33">
        <f t="shared" si="8"/>
        <v>0</v>
      </c>
    </row>
    <row r="27" ht="12" hidden="1" customHeight="1" spans="1:34">
      <c r="A27" s="31" t="s">
        <v>98</v>
      </c>
      <c r="B27" s="32"/>
      <c r="C27" s="32"/>
      <c r="D27" s="32"/>
      <c r="E27" s="33"/>
      <c r="F27" s="33"/>
      <c r="G27" s="33" t="e">
        <f t="shared" si="0"/>
        <v>#DIV/0!</v>
      </c>
      <c r="H27" s="33"/>
      <c r="I27" s="33"/>
      <c r="J27" s="33"/>
      <c r="K27" s="33" t="e">
        <f t="shared" si="1"/>
        <v>#DIV/0!</v>
      </c>
      <c r="L27" s="33"/>
      <c r="M27" s="33"/>
      <c r="N27" s="33"/>
      <c r="O27" s="33" t="e">
        <f t="shared" si="2"/>
        <v>#DIV/0!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 t="e">
        <f t="shared" si="3"/>
        <v>#DIV/0!</v>
      </c>
      <c r="AA27" s="33" t="e">
        <f t="shared" si="4"/>
        <v>#DIV/0!</v>
      </c>
      <c r="AB27" s="33" t="e">
        <f t="shared" si="5"/>
        <v>#DIV/0!</v>
      </c>
      <c r="AC27" s="33"/>
      <c r="AD27" s="33"/>
      <c r="AE27" s="33" t="e">
        <f>#REF!</f>
        <v>#REF!</v>
      </c>
      <c r="AF27" s="33">
        <f t="shared" si="6"/>
        <v>0</v>
      </c>
      <c r="AG27" s="33">
        <f t="shared" si="7"/>
        <v>0</v>
      </c>
      <c r="AH27" s="33">
        <f t="shared" si="8"/>
        <v>0</v>
      </c>
    </row>
    <row r="28" ht="12" hidden="1" customHeight="1" spans="1:34">
      <c r="A28" s="31" t="s">
        <v>99</v>
      </c>
      <c r="B28" s="32"/>
      <c r="C28" s="32"/>
      <c r="D28" s="32"/>
      <c r="E28" s="33"/>
      <c r="F28" s="33"/>
      <c r="G28" s="33" t="e">
        <f t="shared" si="0"/>
        <v>#DIV/0!</v>
      </c>
      <c r="H28" s="33"/>
      <c r="I28" s="33"/>
      <c r="J28" s="33"/>
      <c r="K28" s="33" t="e">
        <f t="shared" si="1"/>
        <v>#DIV/0!</v>
      </c>
      <c r="L28" s="33"/>
      <c r="M28" s="33"/>
      <c r="N28" s="33"/>
      <c r="O28" s="33" t="e">
        <f t="shared" si="2"/>
        <v>#DIV/0!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 t="e">
        <f t="shared" si="3"/>
        <v>#DIV/0!</v>
      </c>
      <c r="AA28" s="33" t="e">
        <f t="shared" si="4"/>
        <v>#DIV/0!</v>
      </c>
      <c r="AB28" s="33" t="e">
        <f t="shared" si="5"/>
        <v>#DIV/0!</v>
      </c>
      <c r="AC28" s="33"/>
      <c r="AD28" s="33"/>
      <c r="AE28" s="33" t="e">
        <f>#REF!</f>
        <v>#REF!</v>
      </c>
      <c r="AF28" s="33">
        <f t="shared" si="6"/>
        <v>0</v>
      </c>
      <c r="AG28" s="33">
        <f t="shared" si="7"/>
        <v>0</v>
      </c>
      <c r="AH28" s="33">
        <f t="shared" si="8"/>
        <v>0</v>
      </c>
    </row>
    <row r="29" ht="12" hidden="1" customHeight="1" spans="1:34">
      <c r="A29" s="31" t="s">
        <v>100</v>
      </c>
      <c r="B29" s="32"/>
      <c r="C29" s="32"/>
      <c r="D29" s="32"/>
      <c r="E29" s="33"/>
      <c r="F29" s="33"/>
      <c r="G29" s="33" t="e">
        <f t="shared" si="0"/>
        <v>#DIV/0!</v>
      </c>
      <c r="H29" s="33"/>
      <c r="I29" s="33"/>
      <c r="J29" s="33"/>
      <c r="K29" s="33" t="e">
        <f t="shared" si="1"/>
        <v>#DIV/0!</v>
      </c>
      <c r="L29" s="33"/>
      <c r="M29" s="33"/>
      <c r="N29" s="33"/>
      <c r="O29" s="33" t="e">
        <f t="shared" si="2"/>
        <v>#DIV/0!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 t="e">
        <f t="shared" si="3"/>
        <v>#DIV/0!</v>
      </c>
      <c r="AA29" s="33" t="e">
        <f t="shared" si="4"/>
        <v>#DIV/0!</v>
      </c>
      <c r="AB29" s="33" t="e">
        <f t="shared" si="5"/>
        <v>#DIV/0!</v>
      </c>
      <c r="AC29" s="33"/>
      <c r="AD29" s="33"/>
      <c r="AE29" s="33" t="e">
        <f>#REF!</f>
        <v>#REF!</v>
      </c>
      <c r="AF29" s="33">
        <f t="shared" si="6"/>
        <v>0</v>
      </c>
      <c r="AG29" s="33">
        <f t="shared" si="7"/>
        <v>0</v>
      </c>
      <c r="AH29" s="33">
        <f t="shared" si="8"/>
        <v>0</v>
      </c>
    </row>
    <row r="30" ht="12" hidden="1" customHeight="1" spans="1:34">
      <c r="A30" s="31" t="s">
        <v>101</v>
      </c>
      <c r="B30" s="32"/>
      <c r="C30" s="32"/>
      <c r="D30" s="32"/>
      <c r="E30" s="33"/>
      <c r="F30" s="33"/>
      <c r="G30" s="33" t="e">
        <f t="shared" si="0"/>
        <v>#DIV/0!</v>
      </c>
      <c r="H30" s="33"/>
      <c r="I30" s="33"/>
      <c r="J30" s="33"/>
      <c r="K30" s="33" t="e">
        <f t="shared" si="1"/>
        <v>#DIV/0!</v>
      </c>
      <c r="L30" s="33"/>
      <c r="M30" s="33"/>
      <c r="N30" s="33"/>
      <c r="O30" s="33" t="e">
        <f t="shared" si="2"/>
        <v>#DIV/0!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 t="e">
        <f t="shared" si="3"/>
        <v>#DIV/0!</v>
      </c>
      <c r="AA30" s="33" t="e">
        <f t="shared" si="4"/>
        <v>#DIV/0!</v>
      </c>
      <c r="AB30" s="33" t="e">
        <f t="shared" si="5"/>
        <v>#DIV/0!</v>
      </c>
      <c r="AC30" s="33"/>
      <c r="AD30" s="33"/>
      <c r="AE30" s="33" t="e">
        <f>#REF!</f>
        <v>#REF!</v>
      </c>
      <c r="AF30" s="33">
        <f t="shared" si="6"/>
        <v>0</v>
      </c>
      <c r="AG30" s="33">
        <f t="shared" si="7"/>
        <v>0</v>
      </c>
      <c r="AH30" s="33">
        <f t="shared" si="8"/>
        <v>0</v>
      </c>
    </row>
    <row r="31" ht="12" hidden="1" customHeight="1" spans="1:34">
      <c r="A31" s="31" t="s">
        <v>102</v>
      </c>
      <c r="B31" s="32"/>
      <c r="C31" s="32"/>
      <c r="D31" s="32"/>
      <c r="E31" s="33"/>
      <c r="F31" s="33"/>
      <c r="G31" s="33" t="e">
        <f t="shared" si="0"/>
        <v>#DIV/0!</v>
      </c>
      <c r="H31" s="33"/>
      <c r="I31" s="33"/>
      <c r="J31" s="33"/>
      <c r="K31" s="33" t="e">
        <f t="shared" si="1"/>
        <v>#DIV/0!</v>
      </c>
      <c r="L31" s="33"/>
      <c r="M31" s="33"/>
      <c r="N31" s="33"/>
      <c r="O31" s="33" t="e">
        <f t="shared" si="2"/>
        <v>#DIV/0!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 t="e">
        <f t="shared" si="3"/>
        <v>#DIV/0!</v>
      </c>
      <c r="AA31" s="33" t="e">
        <f t="shared" si="4"/>
        <v>#DIV/0!</v>
      </c>
      <c r="AB31" s="33" t="e">
        <f t="shared" si="5"/>
        <v>#DIV/0!</v>
      </c>
      <c r="AC31" s="33"/>
      <c r="AD31" s="33"/>
      <c r="AE31" s="33" t="e">
        <f>#REF!</f>
        <v>#REF!</v>
      </c>
      <c r="AF31" s="33">
        <f t="shared" si="6"/>
        <v>0</v>
      </c>
      <c r="AG31" s="33">
        <f t="shared" si="7"/>
        <v>0</v>
      </c>
      <c r="AH31" s="33">
        <f t="shared" si="8"/>
        <v>0</v>
      </c>
    </row>
    <row r="32" ht="12" hidden="1" customHeight="1" spans="1:34">
      <c r="A32" s="31" t="s">
        <v>103</v>
      </c>
      <c r="B32" s="32"/>
      <c r="C32" s="32"/>
      <c r="D32" s="32"/>
      <c r="E32" s="33"/>
      <c r="F32" s="33"/>
      <c r="G32" s="33" t="e">
        <f t="shared" si="0"/>
        <v>#DIV/0!</v>
      </c>
      <c r="H32" s="33"/>
      <c r="I32" s="33"/>
      <c r="J32" s="33"/>
      <c r="K32" s="33" t="e">
        <f t="shared" si="1"/>
        <v>#DIV/0!</v>
      </c>
      <c r="L32" s="33"/>
      <c r="M32" s="33"/>
      <c r="N32" s="33"/>
      <c r="O32" s="33" t="e">
        <f t="shared" si="2"/>
        <v>#DIV/0!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 t="e">
        <f t="shared" si="3"/>
        <v>#DIV/0!</v>
      </c>
      <c r="AA32" s="33" t="e">
        <f t="shared" si="4"/>
        <v>#DIV/0!</v>
      </c>
      <c r="AB32" s="33" t="e">
        <f t="shared" si="5"/>
        <v>#DIV/0!</v>
      </c>
      <c r="AC32" s="33"/>
      <c r="AD32" s="33"/>
      <c r="AE32" s="33" t="e">
        <f>#REF!</f>
        <v>#REF!</v>
      </c>
      <c r="AF32" s="33">
        <f t="shared" si="6"/>
        <v>0</v>
      </c>
      <c r="AG32" s="33">
        <f t="shared" si="7"/>
        <v>0</v>
      </c>
      <c r="AH32" s="33">
        <f t="shared" si="8"/>
        <v>0</v>
      </c>
    </row>
    <row r="33" ht="12" hidden="1" customHeight="1" spans="1:34">
      <c r="A33" s="31" t="s">
        <v>104</v>
      </c>
      <c r="B33" s="32"/>
      <c r="C33" s="32"/>
      <c r="D33" s="32"/>
      <c r="E33" s="33"/>
      <c r="F33" s="33"/>
      <c r="G33" s="33" t="e">
        <f t="shared" si="0"/>
        <v>#DIV/0!</v>
      </c>
      <c r="H33" s="33"/>
      <c r="I33" s="33"/>
      <c r="J33" s="33"/>
      <c r="K33" s="33" t="e">
        <f t="shared" si="1"/>
        <v>#DIV/0!</v>
      </c>
      <c r="L33" s="33"/>
      <c r="M33" s="33"/>
      <c r="N33" s="33"/>
      <c r="O33" s="33" t="e">
        <f t="shared" si="2"/>
        <v>#DIV/0!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 t="e">
        <f t="shared" si="3"/>
        <v>#DIV/0!</v>
      </c>
      <c r="AA33" s="33" t="e">
        <f t="shared" si="4"/>
        <v>#DIV/0!</v>
      </c>
      <c r="AB33" s="33" t="e">
        <f t="shared" si="5"/>
        <v>#DIV/0!</v>
      </c>
      <c r="AC33" s="33"/>
      <c r="AD33" s="33"/>
      <c r="AE33" s="33" t="e">
        <f>#REF!</f>
        <v>#REF!</v>
      </c>
      <c r="AF33" s="33">
        <f t="shared" si="6"/>
        <v>0</v>
      </c>
      <c r="AG33" s="33">
        <f t="shared" si="7"/>
        <v>0</v>
      </c>
      <c r="AH33" s="33">
        <f t="shared" si="8"/>
        <v>0</v>
      </c>
    </row>
    <row r="34" ht="12" hidden="1" customHeight="1" spans="1:34">
      <c r="A34" s="31" t="s">
        <v>105</v>
      </c>
      <c r="B34" s="32"/>
      <c r="C34" s="32"/>
      <c r="D34" s="32"/>
      <c r="E34" s="33"/>
      <c r="F34" s="33"/>
      <c r="G34" s="33" t="e">
        <f t="shared" si="0"/>
        <v>#DIV/0!</v>
      </c>
      <c r="H34" s="33"/>
      <c r="I34" s="33"/>
      <c r="J34" s="33"/>
      <c r="K34" s="33" t="e">
        <f t="shared" si="1"/>
        <v>#DIV/0!</v>
      </c>
      <c r="L34" s="33"/>
      <c r="M34" s="33"/>
      <c r="N34" s="33"/>
      <c r="O34" s="33" t="e">
        <f t="shared" si="2"/>
        <v>#DIV/0!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 t="e">
        <f t="shared" si="3"/>
        <v>#DIV/0!</v>
      </c>
      <c r="AA34" s="33" t="e">
        <f t="shared" si="4"/>
        <v>#DIV/0!</v>
      </c>
      <c r="AB34" s="33" t="e">
        <f t="shared" si="5"/>
        <v>#DIV/0!</v>
      </c>
      <c r="AC34" s="33"/>
      <c r="AD34" s="33"/>
      <c r="AE34" s="33" t="e">
        <f>#REF!</f>
        <v>#REF!</v>
      </c>
      <c r="AF34" s="33">
        <f t="shared" si="6"/>
        <v>0</v>
      </c>
      <c r="AG34" s="33">
        <f t="shared" si="7"/>
        <v>0</v>
      </c>
      <c r="AH34" s="33">
        <f t="shared" si="8"/>
        <v>0</v>
      </c>
    </row>
    <row r="35" ht="12" hidden="1" customHeight="1" spans="1:34">
      <c r="A35" s="31" t="s">
        <v>106</v>
      </c>
      <c r="B35" s="32"/>
      <c r="C35" s="32"/>
      <c r="D35" s="32"/>
      <c r="E35" s="33"/>
      <c r="F35" s="33"/>
      <c r="G35" s="33" t="e">
        <f t="shared" si="0"/>
        <v>#DIV/0!</v>
      </c>
      <c r="H35" s="33"/>
      <c r="I35" s="33"/>
      <c r="J35" s="33"/>
      <c r="K35" s="33" t="e">
        <f t="shared" si="1"/>
        <v>#DIV/0!</v>
      </c>
      <c r="L35" s="33"/>
      <c r="M35" s="33"/>
      <c r="N35" s="33"/>
      <c r="O35" s="33" t="e">
        <f t="shared" si="2"/>
        <v>#DIV/0!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 t="e">
        <f t="shared" si="3"/>
        <v>#DIV/0!</v>
      </c>
      <c r="AA35" s="33" t="e">
        <f t="shared" si="4"/>
        <v>#DIV/0!</v>
      </c>
      <c r="AB35" s="33" t="e">
        <f t="shared" si="5"/>
        <v>#DIV/0!</v>
      </c>
      <c r="AC35" s="33"/>
      <c r="AD35" s="33"/>
      <c r="AE35" s="33" t="e">
        <f>#REF!</f>
        <v>#REF!</v>
      </c>
      <c r="AF35" s="33">
        <f t="shared" si="6"/>
        <v>0</v>
      </c>
      <c r="AG35" s="33">
        <f t="shared" si="7"/>
        <v>0</v>
      </c>
      <c r="AH35" s="33">
        <f t="shared" si="8"/>
        <v>0</v>
      </c>
    </row>
    <row r="36" ht="12" hidden="1" customHeight="1" spans="1:34">
      <c r="A36" s="31" t="s">
        <v>107</v>
      </c>
      <c r="B36" s="32"/>
      <c r="C36" s="32"/>
      <c r="D36" s="32"/>
      <c r="E36" s="33"/>
      <c r="F36" s="33"/>
      <c r="G36" s="33" t="e">
        <f t="shared" si="0"/>
        <v>#DIV/0!</v>
      </c>
      <c r="H36" s="33"/>
      <c r="I36" s="33"/>
      <c r="J36" s="33"/>
      <c r="K36" s="33" t="e">
        <f t="shared" si="1"/>
        <v>#DIV/0!</v>
      </c>
      <c r="L36" s="33"/>
      <c r="M36" s="33"/>
      <c r="N36" s="33"/>
      <c r="O36" s="33" t="e">
        <f t="shared" si="2"/>
        <v>#DIV/0!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 t="e">
        <f t="shared" si="3"/>
        <v>#DIV/0!</v>
      </c>
      <c r="AA36" s="33" t="e">
        <f t="shared" si="4"/>
        <v>#DIV/0!</v>
      </c>
      <c r="AB36" s="33" t="e">
        <f t="shared" si="5"/>
        <v>#DIV/0!</v>
      </c>
      <c r="AC36" s="33"/>
      <c r="AD36" s="33"/>
      <c r="AE36" s="33" t="e">
        <f>#REF!</f>
        <v>#REF!</v>
      </c>
      <c r="AF36" s="33">
        <f t="shared" si="6"/>
        <v>0</v>
      </c>
      <c r="AG36" s="33">
        <f t="shared" si="7"/>
        <v>0</v>
      </c>
      <c r="AH36" s="33">
        <f t="shared" si="8"/>
        <v>0</v>
      </c>
    </row>
    <row r="37" hidden="1" customHeight="1" spans="1:34">
      <c r="A37" s="31" t="s">
        <v>108</v>
      </c>
      <c r="B37" s="32"/>
      <c r="C37" s="32"/>
      <c r="D37" s="32"/>
      <c r="E37" s="33"/>
      <c r="F37" s="33"/>
      <c r="G37" s="33" t="e">
        <f t="shared" si="0"/>
        <v>#DIV/0!</v>
      </c>
      <c r="H37" s="33"/>
      <c r="I37" s="33"/>
      <c r="J37" s="33"/>
      <c r="K37" s="33" t="e">
        <f t="shared" si="1"/>
        <v>#DIV/0!</v>
      </c>
      <c r="L37" s="33"/>
      <c r="M37" s="33"/>
      <c r="N37" s="33"/>
      <c r="O37" s="33" t="e">
        <f t="shared" si="2"/>
        <v>#DIV/0!</v>
      </c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 t="e">
        <f t="shared" si="3"/>
        <v>#DIV/0!</v>
      </c>
      <c r="AA37" s="33" t="e">
        <f t="shared" si="4"/>
        <v>#DIV/0!</v>
      </c>
      <c r="AB37" s="33" t="e">
        <f t="shared" si="5"/>
        <v>#DIV/0!</v>
      </c>
      <c r="AC37" s="33"/>
      <c r="AD37" s="33"/>
      <c r="AE37" s="33" t="e">
        <f>#REF!</f>
        <v>#REF!</v>
      </c>
      <c r="AF37" s="33">
        <f t="shared" si="6"/>
        <v>0</v>
      </c>
      <c r="AG37" s="33">
        <f t="shared" si="7"/>
        <v>0</v>
      </c>
      <c r="AH37" s="33">
        <f t="shared" si="8"/>
        <v>0</v>
      </c>
    </row>
    <row r="38" hidden="1" customHeight="1" spans="1:34">
      <c r="A38" s="31" t="s">
        <v>109</v>
      </c>
      <c r="B38" s="32"/>
      <c r="C38" s="32"/>
      <c r="D38" s="32"/>
      <c r="E38" s="33"/>
      <c r="F38" s="33"/>
      <c r="G38" s="33" t="e">
        <f t="shared" si="0"/>
        <v>#DIV/0!</v>
      </c>
      <c r="H38" s="33"/>
      <c r="I38" s="33"/>
      <c r="J38" s="33"/>
      <c r="K38" s="33" t="e">
        <f t="shared" si="1"/>
        <v>#DIV/0!</v>
      </c>
      <c r="L38" s="33"/>
      <c r="M38" s="33"/>
      <c r="N38" s="33"/>
      <c r="O38" s="33" t="e">
        <f t="shared" si="2"/>
        <v>#DIV/0!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 t="e">
        <f t="shared" si="3"/>
        <v>#DIV/0!</v>
      </c>
      <c r="AA38" s="33" t="e">
        <f t="shared" si="4"/>
        <v>#DIV/0!</v>
      </c>
      <c r="AB38" s="33" t="e">
        <f t="shared" si="5"/>
        <v>#DIV/0!</v>
      </c>
      <c r="AC38" s="33"/>
      <c r="AD38" s="33"/>
      <c r="AE38" s="33" t="e">
        <f>#REF!</f>
        <v>#REF!</v>
      </c>
      <c r="AF38" s="33">
        <f t="shared" si="6"/>
        <v>0</v>
      </c>
      <c r="AG38" s="33">
        <f t="shared" si="7"/>
        <v>0</v>
      </c>
      <c r="AH38" s="33">
        <f t="shared" si="8"/>
        <v>0</v>
      </c>
    </row>
    <row r="39" hidden="1" customHeight="1" spans="1:34">
      <c r="A39" s="31" t="s">
        <v>110</v>
      </c>
      <c r="B39" s="32"/>
      <c r="C39" s="32"/>
      <c r="D39" s="32"/>
      <c r="E39" s="33"/>
      <c r="F39" s="33"/>
      <c r="G39" s="33" t="e">
        <f t="shared" si="0"/>
        <v>#DIV/0!</v>
      </c>
      <c r="H39" s="33"/>
      <c r="I39" s="33"/>
      <c r="J39" s="33"/>
      <c r="K39" s="33" t="e">
        <f t="shared" si="1"/>
        <v>#DIV/0!</v>
      </c>
      <c r="L39" s="33"/>
      <c r="M39" s="33"/>
      <c r="N39" s="33"/>
      <c r="O39" s="33" t="e">
        <f t="shared" si="2"/>
        <v>#DIV/0!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 t="e">
        <f t="shared" si="3"/>
        <v>#DIV/0!</v>
      </c>
      <c r="AA39" s="33" t="e">
        <f t="shared" si="4"/>
        <v>#DIV/0!</v>
      </c>
      <c r="AB39" s="33" t="e">
        <f t="shared" si="5"/>
        <v>#DIV/0!</v>
      </c>
      <c r="AC39" s="33"/>
      <c r="AD39" s="33"/>
      <c r="AE39" s="33" t="e">
        <f>#REF!</f>
        <v>#REF!</v>
      </c>
      <c r="AF39" s="33">
        <f t="shared" si="6"/>
        <v>0</v>
      </c>
      <c r="AG39" s="33">
        <f t="shared" si="7"/>
        <v>0</v>
      </c>
      <c r="AH39" s="33">
        <f t="shared" si="8"/>
        <v>0</v>
      </c>
    </row>
    <row r="40" hidden="1" customHeight="1" spans="1:34">
      <c r="A40" s="31" t="s">
        <v>111</v>
      </c>
      <c r="B40" s="32"/>
      <c r="C40" s="32"/>
      <c r="D40" s="32"/>
      <c r="E40" s="33"/>
      <c r="F40" s="33"/>
      <c r="G40" s="33" t="e">
        <f t="shared" si="0"/>
        <v>#DIV/0!</v>
      </c>
      <c r="H40" s="33"/>
      <c r="I40" s="33"/>
      <c r="J40" s="33"/>
      <c r="K40" s="33" t="e">
        <f t="shared" si="1"/>
        <v>#DIV/0!</v>
      </c>
      <c r="L40" s="33"/>
      <c r="M40" s="33"/>
      <c r="N40" s="33"/>
      <c r="O40" s="33" t="e">
        <f t="shared" si="2"/>
        <v>#DIV/0!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 t="e">
        <f t="shared" si="3"/>
        <v>#DIV/0!</v>
      </c>
      <c r="AA40" s="33" t="e">
        <f t="shared" si="4"/>
        <v>#DIV/0!</v>
      </c>
      <c r="AB40" s="33" t="e">
        <f t="shared" si="5"/>
        <v>#DIV/0!</v>
      </c>
      <c r="AC40" s="33"/>
      <c r="AD40" s="33"/>
      <c r="AE40" s="33" t="e">
        <f>#REF!</f>
        <v>#REF!</v>
      </c>
      <c r="AF40" s="33">
        <f t="shared" si="6"/>
        <v>0</v>
      </c>
      <c r="AG40" s="33">
        <f t="shared" si="7"/>
        <v>0</v>
      </c>
      <c r="AH40" s="33">
        <f t="shared" si="8"/>
        <v>0</v>
      </c>
    </row>
    <row r="41" hidden="1" customHeight="1" spans="1:34">
      <c r="A41" s="31" t="s">
        <v>112</v>
      </c>
      <c r="B41" s="32"/>
      <c r="C41" s="32"/>
      <c r="D41" s="32"/>
      <c r="E41" s="33"/>
      <c r="F41" s="33"/>
      <c r="G41" s="33" t="e">
        <f t="shared" si="0"/>
        <v>#DIV/0!</v>
      </c>
      <c r="H41" s="33"/>
      <c r="I41" s="33"/>
      <c r="J41" s="33"/>
      <c r="K41" s="33" t="e">
        <f t="shared" si="1"/>
        <v>#DIV/0!</v>
      </c>
      <c r="L41" s="33"/>
      <c r="M41" s="33"/>
      <c r="N41" s="33"/>
      <c r="O41" s="33" t="e">
        <f t="shared" si="2"/>
        <v>#DIV/0!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 t="e">
        <f t="shared" si="3"/>
        <v>#DIV/0!</v>
      </c>
      <c r="AA41" s="33" t="e">
        <f t="shared" si="4"/>
        <v>#DIV/0!</v>
      </c>
      <c r="AB41" s="33" t="e">
        <f t="shared" si="5"/>
        <v>#DIV/0!</v>
      </c>
      <c r="AC41" s="33"/>
      <c r="AD41" s="33"/>
      <c r="AE41" s="33" t="e">
        <f>#REF!</f>
        <v>#REF!</v>
      </c>
      <c r="AF41" s="33">
        <f t="shared" si="6"/>
        <v>0</v>
      </c>
      <c r="AG41" s="33">
        <f t="shared" si="7"/>
        <v>0</v>
      </c>
      <c r="AH41" s="33">
        <f t="shared" si="8"/>
        <v>0</v>
      </c>
    </row>
    <row r="42" hidden="1" customHeight="1" spans="1:34">
      <c r="A42" s="31" t="s">
        <v>113</v>
      </c>
      <c r="B42" s="32"/>
      <c r="C42" s="32"/>
      <c r="D42" s="32"/>
      <c r="E42" s="33"/>
      <c r="F42" s="33"/>
      <c r="G42" s="33" t="e">
        <f t="shared" si="0"/>
        <v>#DIV/0!</v>
      </c>
      <c r="H42" s="33"/>
      <c r="I42" s="33"/>
      <c r="J42" s="33"/>
      <c r="K42" s="33" t="e">
        <f t="shared" si="1"/>
        <v>#DIV/0!</v>
      </c>
      <c r="L42" s="33"/>
      <c r="M42" s="33"/>
      <c r="N42" s="33"/>
      <c r="O42" s="33" t="e">
        <f t="shared" si="2"/>
        <v>#DIV/0!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 t="e">
        <f t="shared" si="3"/>
        <v>#DIV/0!</v>
      </c>
      <c r="AA42" s="33" t="e">
        <f t="shared" si="4"/>
        <v>#DIV/0!</v>
      </c>
      <c r="AB42" s="33" t="e">
        <f t="shared" si="5"/>
        <v>#DIV/0!</v>
      </c>
      <c r="AC42" s="33"/>
      <c r="AD42" s="33"/>
      <c r="AE42" s="33" t="e">
        <f>#REF!</f>
        <v>#REF!</v>
      </c>
      <c r="AF42" s="33">
        <f t="shared" si="6"/>
        <v>0</v>
      </c>
      <c r="AG42" s="33">
        <f t="shared" si="7"/>
        <v>0</v>
      </c>
      <c r="AH42" s="33">
        <f t="shared" si="8"/>
        <v>0</v>
      </c>
    </row>
    <row r="43" hidden="1" customHeight="1" spans="1:34">
      <c r="A43" s="31" t="s">
        <v>114</v>
      </c>
      <c r="B43" s="32"/>
      <c r="C43" s="32"/>
      <c r="D43" s="32"/>
      <c r="E43" s="33"/>
      <c r="F43" s="33"/>
      <c r="G43" s="33" t="e">
        <f t="shared" si="0"/>
        <v>#DIV/0!</v>
      </c>
      <c r="H43" s="33"/>
      <c r="I43" s="33"/>
      <c r="J43" s="33"/>
      <c r="K43" s="33" t="e">
        <f t="shared" si="1"/>
        <v>#DIV/0!</v>
      </c>
      <c r="L43" s="33"/>
      <c r="M43" s="33"/>
      <c r="N43" s="33"/>
      <c r="O43" s="33" t="e">
        <f t="shared" si="2"/>
        <v>#DIV/0!</v>
      </c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 t="e">
        <f t="shared" si="3"/>
        <v>#DIV/0!</v>
      </c>
      <c r="AA43" s="33" t="e">
        <f t="shared" si="4"/>
        <v>#DIV/0!</v>
      </c>
      <c r="AB43" s="33" t="e">
        <f t="shared" si="5"/>
        <v>#DIV/0!</v>
      </c>
      <c r="AC43" s="33"/>
      <c r="AD43" s="33"/>
      <c r="AE43" s="33" t="e">
        <f>#REF!</f>
        <v>#REF!</v>
      </c>
      <c r="AF43" s="33">
        <f t="shared" si="6"/>
        <v>0</v>
      </c>
      <c r="AG43" s="33">
        <f t="shared" si="7"/>
        <v>0</v>
      </c>
      <c r="AH43" s="33">
        <f t="shared" si="8"/>
        <v>0</v>
      </c>
    </row>
    <row r="44" hidden="1" customHeight="1" spans="5:25">
      <c r="E44" s="34"/>
      <c r="F44" s="34"/>
      <c r="G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52"/>
      <c r="X44" s="52"/>
      <c r="Y44" s="52"/>
    </row>
    <row r="45" hidden="1" customHeight="1" spans="23:25">
      <c r="W45" s="52"/>
      <c r="X45" s="52"/>
      <c r="Y45" s="52"/>
    </row>
    <row r="46" hidden="1" customHeight="1" spans="23:25">
      <c r="W46" s="52"/>
      <c r="X46" s="52"/>
      <c r="Y46" s="52"/>
    </row>
    <row r="47" hidden="1" customHeight="1" spans="23:25">
      <c r="W47" s="52"/>
      <c r="X47" s="52"/>
      <c r="Y47" s="52"/>
    </row>
    <row r="48" hidden="1" customHeight="1" spans="23:25">
      <c r="W48" s="52"/>
      <c r="X48" s="52"/>
      <c r="Y48" s="52"/>
    </row>
    <row r="49" ht="29.25" customHeight="1" spans="3:34">
      <c r="C49" s="70" t="s">
        <v>152</v>
      </c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5"/>
    </row>
    <row r="50" customHeight="1" spans="2:10">
      <c r="B50" s="36" t="s">
        <v>153</v>
      </c>
      <c r="C50" s="36"/>
      <c r="D50" s="36"/>
      <c r="E50"/>
      <c r="F50"/>
      <c r="H50"/>
      <c r="I50"/>
      <c r="J50"/>
    </row>
    <row r="51" customHeight="1" spans="2:10">
      <c r="B51" s="36"/>
      <c r="C51" s="36"/>
      <c r="D51" s="36"/>
      <c r="E51"/>
      <c r="F51"/>
      <c r="H51"/>
      <c r="I51"/>
      <c r="J51"/>
    </row>
    <row r="52" customHeight="1" spans="2:37">
      <c r="B52" s="36"/>
      <c r="C52" s="36"/>
      <c r="D52" s="36"/>
      <c r="E52" s="37" t="s">
        <v>117</v>
      </c>
      <c r="F52" s="38"/>
      <c r="G52" s="38"/>
      <c r="H52" s="37" t="s">
        <v>118</v>
      </c>
      <c r="I52" s="38"/>
      <c r="J52" s="38"/>
      <c r="K52" s="37" t="s">
        <v>119</v>
      </c>
      <c r="L52" s="38"/>
      <c r="M52" s="38"/>
      <c r="N52" s="37" t="s">
        <v>120</v>
      </c>
      <c r="O52" s="38"/>
      <c r="P52" s="38"/>
      <c r="Q52" s="37" t="s">
        <v>121</v>
      </c>
      <c r="R52" s="38"/>
      <c r="S52" s="38"/>
      <c r="T52" s="37" t="s">
        <v>122</v>
      </c>
      <c r="U52" s="38"/>
      <c r="V52" s="38"/>
      <c r="W52" s="37" t="s">
        <v>123</v>
      </c>
      <c r="X52" s="38"/>
      <c r="Y52" s="38"/>
      <c r="Z52" s="37" t="s">
        <v>124</v>
      </c>
      <c r="AA52" s="38"/>
      <c r="AB52" s="38"/>
      <c r="AC52" s="37" t="s">
        <v>125</v>
      </c>
      <c r="AD52" s="38"/>
      <c r="AE52" s="38"/>
      <c r="AF52" s="37" t="s">
        <v>126</v>
      </c>
      <c r="AG52" s="38"/>
      <c r="AH52" s="38"/>
      <c r="AI52" s="38"/>
      <c r="AJ52" s="38"/>
      <c r="AK52" s="38"/>
    </row>
    <row r="53" spans="3:34">
      <c r="C53" s="4"/>
      <c r="D53" s="4"/>
      <c r="E53" s="39" t="s">
        <v>128</v>
      </c>
      <c r="F53" s="39" t="s">
        <v>154</v>
      </c>
      <c r="G53" s="39" t="s">
        <v>155</v>
      </c>
      <c r="H53" s="40" t="s">
        <v>156</v>
      </c>
      <c r="I53" s="40" t="s">
        <v>157</v>
      </c>
      <c r="J53" s="40" t="s">
        <v>155</v>
      </c>
      <c r="K53" s="39" t="s">
        <v>128</v>
      </c>
      <c r="L53" s="39" t="s">
        <v>154</v>
      </c>
      <c r="M53" s="39" t="s">
        <v>155</v>
      </c>
      <c r="N53" s="40" t="s">
        <v>156</v>
      </c>
      <c r="O53" s="40" t="s">
        <v>157</v>
      </c>
      <c r="P53" s="40" t="s">
        <v>155</v>
      </c>
      <c r="Q53" s="39" t="s">
        <v>128</v>
      </c>
      <c r="R53" s="39" t="s">
        <v>154</v>
      </c>
      <c r="S53" s="39" t="s">
        <v>155</v>
      </c>
      <c r="T53" s="40" t="s">
        <v>156</v>
      </c>
      <c r="U53" s="40" t="s">
        <v>157</v>
      </c>
      <c r="V53" s="40" t="s">
        <v>155</v>
      </c>
      <c r="W53" s="39" t="s">
        <v>128</v>
      </c>
      <c r="X53" s="39" t="s">
        <v>154</v>
      </c>
      <c r="Y53" s="39" t="s">
        <v>155</v>
      </c>
      <c r="Z53" s="40" t="s">
        <v>156</v>
      </c>
      <c r="AA53" s="40" t="s">
        <v>157</v>
      </c>
      <c r="AB53" s="40" t="s">
        <v>155</v>
      </c>
      <c r="AC53" s="39" t="s">
        <v>128</v>
      </c>
      <c r="AD53" s="39" t="s">
        <v>154</v>
      </c>
      <c r="AE53" s="39" t="s">
        <v>155</v>
      </c>
      <c r="AF53" s="40" t="s">
        <v>156</v>
      </c>
      <c r="AG53" s="40" t="s">
        <v>157</v>
      </c>
      <c r="AH53" s="40" t="s">
        <v>155</v>
      </c>
    </row>
    <row r="54" spans="1:34">
      <c r="A54" s="41" t="s">
        <v>131</v>
      </c>
      <c r="B54" s="42" t="s">
        <v>132</v>
      </c>
      <c r="C54" s="43" t="s">
        <v>133</v>
      </c>
      <c r="D54" s="43" t="s">
        <v>134</v>
      </c>
      <c r="E54" s="44">
        <v>45804</v>
      </c>
      <c r="F54" s="44">
        <f>E54+2</f>
        <v>45806</v>
      </c>
      <c r="G54" s="44">
        <f>F54+1</f>
        <v>45807</v>
      </c>
      <c r="H54" s="44">
        <f>E54+7</f>
        <v>45811</v>
      </c>
      <c r="I54" s="44">
        <f>H54+2</f>
        <v>45813</v>
      </c>
      <c r="J54" s="44">
        <f>I54+1</f>
        <v>45814</v>
      </c>
      <c r="K54" s="44">
        <f>H54+7</f>
        <v>45818</v>
      </c>
      <c r="L54" s="44">
        <f>K54+2</f>
        <v>45820</v>
      </c>
      <c r="M54" s="44">
        <f>L54+1</f>
        <v>45821</v>
      </c>
      <c r="N54" s="44">
        <f>K54+7</f>
        <v>45825</v>
      </c>
      <c r="O54" s="44">
        <f>N54+2</f>
        <v>45827</v>
      </c>
      <c r="P54" s="44">
        <f>O54+1</f>
        <v>45828</v>
      </c>
      <c r="Q54" s="44">
        <f>N54+7</f>
        <v>45832</v>
      </c>
      <c r="R54" s="44">
        <f>Q54+2</f>
        <v>45834</v>
      </c>
      <c r="S54" s="44">
        <f>R54+1</f>
        <v>45835</v>
      </c>
      <c r="T54" s="44">
        <f>Q54+7</f>
        <v>45839</v>
      </c>
      <c r="U54" s="44">
        <f>T54+2</f>
        <v>45841</v>
      </c>
      <c r="V54" s="44">
        <f>U54+1</f>
        <v>45842</v>
      </c>
      <c r="W54" s="44">
        <f>T54+7</f>
        <v>45846</v>
      </c>
      <c r="X54" s="44">
        <f>W54+2</f>
        <v>45848</v>
      </c>
      <c r="Y54" s="44">
        <f>X54+1</f>
        <v>45849</v>
      </c>
      <c r="Z54" s="44">
        <f>W54+7</f>
        <v>45853</v>
      </c>
      <c r="AA54" s="44">
        <f>Z54+2</f>
        <v>45855</v>
      </c>
      <c r="AB54" s="44">
        <f>AA54+1</f>
        <v>45856</v>
      </c>
      <c r="AC54" s="44">
        <f>Z54+7</f>
        <v>45860</v>
      </c>
      <c r="AD54" s="44">
        <f>AC54+2</f>
        <v>45862</v>
      </c>
      <c r="AE54" s="44">
        <f>AD54+1</f>
        <v>45863</v>
      </c>
      <c r="AF54" s="44">
        <f>AC54+7</f>
        <v>45867</v>
      </c>
      <c r="AG54" s="44">
        <f>AF54+2</f>
        <v>45869</v>
      </c>
      <c r="AH54" s="44">
        <f>AG54+1</f>
        <v>45870</v>
      </c>
    </row>
    <row r="55" spans="1:42">
      <c r="A55" s="41" t="str">
        <f>'[1]final 5-J'!A11</f>
        <v>01</v>
      </c>
      <c r="B55" s="45" t="str">
        <f>'RELACION GENERAL'!C6</f>
        <v>CALDERON FALCON DORIAM JOSUE</v>
      </c>
      <c r="C55" s="71"/>
      <c r="D55" s="71"/>
      <c r="E55" s="47" t="s">
        <v>135</v>
      </c>
      <c r="F55" s="47" t="s">
        <v>135</v>
      </c>
      <c r="G55" s="47" t="s">
        <v>135</v>
      </c>
      <c r="H55" s="47" t="s">
        <v>135</v>
      </c>
      <c r="I55" s="47" t="s">
        <v>135</v>
      </c>
      <c r="J55" s="47" t="s">
        <v>135</v>
      </c>
      <c r="K55" s="47" t="s">
        <v>135</v>
      </c>
      <c r="L55" s="47" t="s">
        <v>135</v>
      </c>
      <c r="M55" s="47" t="s">
        <v>135</v>
      </c>
      <c r="N55" s="47" t="s">
        <v>135</v>
      </c>
      <c r="O55" s="47" t="s">
        <v>135</v>
      </c>
      <c r="P55" s="47" t="s">
        <v>135</v>
      </c>
      <c r="Q55" s="47" t="s">
        <v>135</v>
      </c>
      <c r="R55" s="47" t="s">
        <v>135</v>
      </c>
      <c r="S55" s="47"/>
      <c r="T55" s="47" t="s">
        <v>135</v>
      </c>
      <c r="U55" s="47" t="s">
        <v>135</v>
      </c>
      <c r="V55" s="47" t="s">
        <v>135</v>
      </c>
      <c r="W55" s="47" t="s">
        <v>135</v>
      </c>
      <c r="X55" s="47" t="s">
        <v>135</v>
      </c>
      <c r="Y55" s="47" t="s">
        <v>135</v>
      </c>
      <c r="Z55" s="47" t="s">
        <v>135</v>
      </c>
      <c r="AA55" s="47" t="s">
        <v>135</v>
      </c>
      <c r="AB55" s="47" t="s">
        <v>136</v>
      </c>
      <c r="AC55" s="47" t="s">
        <v>138</v>
      </c>
      <c r="AD55" s="47" t="s">
        <v>138</v>
      </c>
      <c r="AE55" s="47" t="s">
        <v>158</v>
      </c>
      <c r="AF55" s="47"/>
      <c r="AG55" s="47"/>
      <c r="AH55" s="47"/>
      <c r="AI55">
        <v>2</v>
      </c>
      <c r="AJ55">
        <f>COUNTIF(E55:AE55,"ok")</f>
        <v>24</v>
      </c>
      <c r="AK55">
        <f t="shared" ref="AK55:AK72" si="9">SUM(AI55:AJ55)</f>
        <v>26</v>
      </c>
      <c r="AL55">
        <v>0.74</v>
      </c>
      <c r="AM55">
        <f t="shared" ref="AM55:AM72" si="10">PRODUCT(AK55:AL55)</f>
        <v>19.24</v>
      </c>
      <c r="AN55" s="42"/>
      <c r="AO55" s="42"/>
      <c r="AP55" s="4" t="s">
        <v>140</v>
      </c>
    </row>
    <row r="56" spans="1:42">
      <c r="A56" s="41" t="str">
        <f>'[1]final 5-J'!A12</f>
        <v>02</v>
      </c>
      <c r="B56" s="45" t="str">
        <f>'RELACION GENERAL'!C7</f>
        <v>CAMPOS PALOMINO MAXIMO NASSIR</v>
      </c>
      <c r="C56" s="72"/>
      <c r="D56" s="72"/>
      <c r="E56" s="47"/>
      <c r="F56" s="47" t="s">
        <v>135</v>
      </c>
      <c r="G56" s="47" t="s">
        <v>135</v>
      </c>
      <c r="H56" s="47"/>
      <c r="I56" s="47"/>
      <c r="J56" s="47" t="s">
        <v>135</v>
      </c>
      <c r="K56" s="47" t="s">
        <v>135</v>
      </c>
      <c r="L56" s="47" t="s">
        <v>135</v>
      </c>
      <c r="M56" s="47" t="s">
        <v>135</v>
      </c>
      <c r="N56" s="47" t="s">
        <v>135</v>
      </c>
      <c r="O56" s="47" t="s">
        <v>135</v>
      </c>
      <c r="P56" s="47"/>
      <c r="Q56" s="47" t="s">
        <v>135</v>
      </c>
      <c r="R56" s="47"/>
      <c r="S56" s="47"/>
      <c r="T56" s="47"/>
      <c r="U56" s="47"/>
      <c r="V56" s="47"/>
      <c r="W56" s="47" t="s">
        <v>135</v>
      </c>
      <c r="X56" s="47"/>
      <c r="Y56" s="47" t="s">
        <v>135</v>
      </c>
      <c r="Z56" s="47" t="s">
        <v>135</v>
      </c>
      <c r="AA56" s="47" t="s">
        <v>135</v>
      </c>
      <c r="AB56" s="47" t="s">
        <v>159</v>
      </c>
      <c r="AC56" s="47" t="s">
        <v>138</v>
      </c>
      <c r="AD56" s="47" t="s">
        <v>138</v>
      </c>
      <c r="AE56" s="47" t="s">
        <v>160</v>
      </c>
      <c r="AF56" s="47"/>
      <c r="AG56" s="47"/>
      <c r="AH56" s="47"/>
      <c r="AI56">
        <v>2</v>
      </c>
      <c r="AJ56">
        <f t="shared" ref="AJ56:AJ72" si="11">COUNTIF(E56:AE56,"ok")</f>
        <v>15</v>
      </c>
      <c r="AK56">
        <f t="shared" si="9"/>
        <v>17</v>
      </c>
      <c r="AL56">
        <v>0.74</v>
      </c>
      <c r="AM56">
        <f t="shared" si="10"/>
        <v>12.58</v>
      </c>
      <c r="AN56" s="42"/>
      <c r="AO56" s="42"/>
      <c r="AP56" s="4" t="s">
        <v>161</v>
      </c>
    </row>
    <row r="57" spans="1:42">
      <c r="A57" s="41" t="str">
        <f>'[1]final 5-J'!A13</f>
        <v>03</v>
      </c>
      <c r="B57" s="45" t="str">
        <f>'RELACION GENERAL'!C8</f>
        <v>CHUQUIZUTA VALENCIA FRANKLIN YAZID</v>
      </c>
      <c r="C57" s="73"/>
      <c r="D57" s="73"/>
      <c r="E57" s="47"/>
      <c r="F57" s="47" t="s">
        <v>135</v>
      </c>
      <c r="G57" s="47" t="s">
        <v>135</v>
      </c>
      <c r="H57" s="47" t="s">
        <v>135</v>
      </c>
      <c r="I57" s="47" t="s">
        <v>135</v>
      </c>
      <c r="J57" s="47" t="s">
        <v>135</v>
      </c>
      <c r="K57" s="47" t="s">
        <v>135</v>
      </c>
      <c r="L57" s="47" t="s">
        <v>135</v>
      </c>
      <c r="M57" s="47"/>
      <c r="N57" s="47"/>
      <c r="O57" s="47"/>
      <c r="P57" s="47"/>
      <c r="Q57" s="47"/>
      <c r="R57" s="47" t="s">
        <v>135</v>
      </c>
      <c r="S57" s="47" t="s">
        <v>135</v>
      </c>
      <c r="T57" s="47"/>
      <c r="U57" s="47" t="s">
        <v>135</v>
      </c>
      <c r="V57" s="47"/>
      <c r="W57" s="47"/>
      <c r="X57" s="47"/>
      <c r="Y57" s="47" t="s">
        <v>135</v>
      </c>
      <c r="Z57" s="47" t="s">
        <v>135</v>
      </c>
      <c r="AA57" s="47" t="s">
        <v>135</v>
      </c>
      <c r="AB57" s="47" t="s">
        <v>162</v>
      </c>
      <c r="AC57" s="47" t="s">
        <v>138</v>
      </c>
      <c r="AD57" s="47" t="s">
        <v>138</v>
      </c>
      <c r="AE57" s="47"/>
      <c r="AF57" s="47"/>
      <c r="AG57" s="47"/>
      <c r="AH57" s="47"/>
      <c r="AI57">
        <v>2</v>
      </c>
      <c r="AJ57">
        <f t="shared" si="11"/>
        <v>15</v>
      </c>
      <c r="AK57">
        <f t="shared" si="9"/>
        <v>17</v>
      </c>
      <c r="AL57">
        <v>0.74</v>
      </c>
      <c r="AM57">
        <f t="shared" si="10"/>
        <v>12.58</v>
      </c>
      <c r="AN57" s="42"/>
      <c r="AO57" s="42"/>
      <c r="AP57" s="4" t="s">
        <v>161</v>
      </c>
    </row>
    <row r="58" spans="1:42">
      <c r="A58" s="41" t="str">
        <f>'[1]final 5-J'!A14</f>
        <v>04</v>
      </c>
      <c r="B58" s="45" t="str">
        <f>'RELACION GENERAL'!C9</f>
        <v>COTAQUISPE GALVEZ YOJAN ANDRES</v>
      </c>
      <c r="C58" s="71"/>
      <c r="D58" s="71"/>
      <c r="E58" s="47" t="s">
        <v>135</v>
      </c>
      <c r="F58" s="47" t="s">
        <v>135</v>
      </c>
      <c r="G58" s="47" t="s">
        <v>135</v>
      </c>
      <c r="H58" s="47" t="s">
        <v>135</v>
      </c>
      <c r="I58" s="47"/>
      <c r="J58" s="47" t="s">
        <v>135</v>
      </c>
      <c r="K58" s="47" t="s">
        <v>135</v>
      </c>
      <c r="L58" s="47" t="s">
        <v>135</v>
      </c>
      <c r="M58" s="47" t="s">
        <v>135</v>
      </c>
      <c r="N58" s="47" t="s">
        <v>135</v>
      </c>
      <c r="O58" s="47" t="s">
        <v>135</v>
      </c>
      <c r="P58" s="47" t="s">
        <v>135</v>
      </c>
      <c r="Q58" s="47" t="s">
        <v>135</v>
      </c>
      <c r="R58" s="47" t="s">
        <v>135</v>
      </c>
      <c r="S58" s="47"/>
      <c r="T58" s="47" t="s">
        <v>135</v>
      </c>
      <c r="U58" s="47" t="s">
        <v>135</v>
      </c>
      <c r="V58" s="47" t="s">
        <v>135</v>
      </c>
      <c r="W58" s="47" t="s">
        <v>135</v>
      </c>
      <c r="X58" s="47" t="s">
        <v>135</v>
      </c>
      <c r="Y58" s="47" t="s">
        <v>135</v>
      </c>
      <c r="Z58" s="47"/>
      <c r="AA58" s="47" t="s">
        <v>135</v>
      </c>
      <c r="AB58" s="47"/>
      <c r="AC58" s="47" t="s">
        <v>138</v>
      </c>
      <c r="AD58" s="47" t="s">
        <v>138</v>
      </c>
      <c r="AE58" s="47"/>
      <c r="AF58" s="47"/>
      <c r="AG58" s="47"/>
      <c r="AH58" s="47"/>
      <c r="AI58">
        <v>2</v>
      </c>
      <c r="AJ58">
        <f t="shared" si="11"/>
        <v>22</v>
      </c>
      <c r="AK58">
        <f t="shared" si="9"/>
        <v>24</v>
      </c>
      <c r="AL58">
        <v>0.74</v>
      </c>
      <c r="AM58">
        <f t="shared" si="10"/>
        <v>17.76</v>
      </c>
      <c r="AN58" s="42"/>
      <c r="AO58" s="42"/>
      <c r="AP58" s="4" t="s">
        <v>163</v>
      </c>
    </row>
    <row r="59" spans="1:42">
      <c r="A59" s="41" t="str">
        <f>'[1]final 5-J'!A15</f>
        <v>05</v>
      </c>
      <c r="B59" s="45" t="str">
        <f>'RELACION GENERAL'!C10</f>
        <v>HUAMANI PAUCAR LUIS ALFREDO</v>
      </c>
      <c r="C59" s="71"/>
      <c r="D59" s="71"/>
      <c r="E59" s="47" t="s">
        <v>135</v>
      </c>
      <c r="F59" s="47" t="s">
        <v>135</v>
      </c>
      <c r="G59" s="47" t="s">
        <v>135</v>
      </c>
      <c r="H59" s="47" t="s">
        <v>135</v>
      </c>
      <c r="I59" s="47" t="s">
        <v>135</v>
      </c>
      <c r="J59" s="47" t="s">
        <v>135</v>
      </c>
      <c r="K59" s="47" t="s">
        <v>135</v>
      </c>
      <c r="L59" s="47" t="s">
        <v>135</v>
      </c>
      <c r="M59" s="47" t="s">
        <v>135</v>
      </c>
      <c r="N59" s="47"/>
      <c r="O59" s="47" t="s">
        <v>135</v>
      </c>
      <c r="P59" s="47" t="s">
        <v>135</v>
      </c>
      <c r="Q59" s="47" t="s">
        <v>135</v>
      </c>
      <c r="R59" s="47" t="s">
        <v>135</v>
      </c>
      <c r="S59" s="47" t="s">
        <v>135</v>
      </c>
      <c r="T59" s="47" t="s">
        <v>135</v>
      </c>
      <c r="U59" s="47" t="s">
        <v>135</v>
      </c>
      <c r="V59" s="47" t="s">
        <v>135</v>
      </c>
      <c r="W59" s="47" t="s">
        <v>135</v>
      </c>
      <c r="X59" s="47" t="s">
        <v>135</v>
      </c>
      <c r="Y59" s="47" t="s">
        <v>135</v>
      </c>
      <c r="Z59" s="47" t="s">
        <v>135</v>
      </c>
      <c r="AA59" s="47" t="s">
        <v>135</v>
      </c>
      <c r="AB59" s="47"/>
      <c r="AC59" s="47" t="s">
        <v>138</v>
      </c>
      <c r="AD59" s="47" t="s">
        <v>138</v>
      </c>
      <c r="AE59" s="47"/>
      <c r="AF59" s="47"/>
      <c r="AG59" s="47"/>
      <c r="AH59" s="47"/>
      <c r="AI59">
        <v>2</v>
      </c>
      <c r="AJ59">
        <f t="shared" si="11"/>
        <v>24</v>
      </c>
      <c r="AK59">
        <f t="shared" si="9"/>
        <v>26</v>
      </c>
      <c r="AL59">
        <v>0.74</v>
      </c>
      <c r="AM59">
        <f t="shared" si="10"/>
        <v>19.24</v>
      </c>
      <c r="AN59" s="42"/>
      <c r="AO59" s="42"/>
      <c r="AP59" s="4" t="s">
        <v>140</v>
      </c>
    </row>
    <row r="60" s="1" customFormat="1" spans="1:42">
      <c r="A60" s="49" t="str">
        <f>'[1]final 5-J'!A16</f>
        <v>06</v>
      </c>
      <c r="B60" s="50" t="str">
        <f>'RELACION GENERAL'!C11</f>
        <v>HUARCAYA BACAS HENRY VICENTE</v>
      </c>
      <c r="C60" s="74"/>
      <c r="D60" s="74"/>
      <c r="E60" s="47" t="s">
        <v>135</v>
      </c>
      <c r="F60" s="47" t="s">
        <v>135</v>
      </c>
      <c r="G60" s="47" t="s">
        <v>135</v>
      </c>
      <c r="H60" s="47" t="s">
        <v>135</v>
      </c>
      <c r="I60" s="47" t="s">
        <v>135</v>
      </c>
      <c r="J60" s="47" t="s">
        <v>135</v>
      </c>
      <c r="K60" s="47" t="s">
        <v>135</v>
      </c>
      <c r="L60" s="47" t="s">
        <v>135</v>
      </c>
      <c r="M60" s="47" t="s">
        <v>135</v>
      </c>
      <c r="N60" s="47" t="s">
        <v>135</v>
      </c>
      <c r="O60" s="47" t="s">
        <v>135</v>
      </c>
      <c r="P60" s="47" t="s">
        <v>135</v>
      </c>
      <c r="Q60" s="47" t="s">
        <v>135</v>
      </c>
      <c r="R60" s="47" t="s">
        <v>135</v>
      </c>
      <c r="S60" s="47" t="s">
        <v>135</v>
      </c>
      <c r="T60" s="47" t="s">
        <v>135</v>
      </c>
      <c r="U60" s="47" t="s">
        <v>135</v>
      </c>
      <c r="V60" s="47" t="s">
        <v>135</v>
      </c>
      <c r="W60" s="47" t="s">
        <v>135</v>
      </c>
      <c r="X60" s="47" t="s">
        <v>135</v>
      </c>
      <c r="Y60" s="47" t="s">
        <v>135</v>
      </c>
      <c r="Z60" s="47" t="s">
        <v>135</v>
      </c>
      <c r="AA60" s="47" t="s">
        <v>135</v>
      </c>
      <c r="AB60" s="47"/>
      <c r="AC60" s="47" t="s">
        <v>138</v>
      </c>
      <c r="AD60" s="47" t="s">
        <v>138</v>
      </c>
      <c r="AE60" s="47"/>
      <c r="AF60" s="56"/>
      <c r="AG60" s="56"/>
      <c r="AH60" s="56"/>
      <c r="AI60">
        <v>2</v>
      </c>
      <c r="AJ60" s="1">
        <f t="shared" si="11"/>
        <v>25</v>
      </c>
      <c r="AK60" s="1">
        <f t="shared" si="9"/>
        <v>27</v>
      </c>
      <c r="AL60" s="1">
        <v>0.74</v>
      </c>
      <c r="AM60" s="1">
        <f t="shared" si="10"/>
        <v>19.98</v>
      </c>
      <c r="AN60" s="76"/>
      <c r="AO60" s="76"/>
      <c r="AP60" s="57" t="s">
        <v>140</v>
      </c>
    </row>
    <row r="61" spans="1:42">
      <c r="A61" s="41" t="str">
        <f>'[1]final 5-J'!A17</f>
        <v>07</v>
      </c>
      <c r="B61" s="45" t="str">
        <f>'RELACION GENERAL'!C12</f>
        <v>HUAYHUAMEZA LEÑAN DEYVIS</v>
      </c>
      <c r="C61" s="71"/>
      <c r="D61" s="71"/>
      <c r="E61" s="47" t="s">
        <v>135</v>
      </c>
      <c r="F61" s="47" t="s">
        <v>135</v>
      </c>
      <c r="G61" s="47" t="s">
        <v>135</v>
      </c>
      <c r="H61" s="47" t="s">
        <v>135</v>
      </c>
      <c r="I61" s="47" t="s">
        <v>135</v>
      </c>
      <c r="J61" s="47" t="s">
        <v>135</v>
      </c>
      <c r="K61" s="47" t="s">
        <v>135</v>
      </c>
      <c r="L61" s="47" t="s">
        <v>135</v>
      </c>
      <c r="M61" s="47" t="s">
        <v>135</v>
      </c>
      <c r="N61" s="47" t="s">
        <v>135</v>
      </c>
      <c r="O61" s="47" t="s">
        <v>135</v>
      </c>
      <c r="P61" s="47"/>
      <c r="Q61" s="47" t="s">
        <v>135</v>
      </c>
      <c r="R61" s="47" t="s">
        <v>135</v>
      </c>
      <c r="S61" s="47" t="s">
        <v>135</v>
      </c>
      <c r="T61" s="47" t="s">
        <v>135</v>
      </c>
      <c r="U61" s="47" t="s">
        <v>135</v>
      </c>
      <c r="V61" s="47" t="s">
        <v>135</v>
      </c>
      <c r="W61" s="47" t="s">
        <v>135</v>
      </c>
      <c r="X61" s="47" t="s">
        <v>135</v>
      </c>
      <c r="Y61" s="47" t="s">
        <v>135</v>
      </c>
      <c r="Z61" s="47" t="s">
        <v>135</v>
      </c>
      <c r="AA61" s="47" t="s">
        <v>135</v>
      </c>
      <c r="AB61" s="47"/>
      <c r="AC61" s="47" t="s">
        <v>138</v>
      </c>
      <c r="AD61" s="47" t="s">
        <v>138</v>
      </c>
      <c r="AE61" s="47"/>
      <c r="AF61" s="47"/>
      <c r="AG61" s="47"/>
      <c r="AH61" s="47"/>
      <c r="AI61">
        <v>2</v>
      </c>
      <c r="AJ61">
        <f t="shared" si="11"/>
        <v>24</v>
      </c>
      <c r="AK61">
        <f t="shared" si="9"/>
        <v>26</v>
      </c>
      <c r="AL61">
        <v>0.74</v>
      </c>
      <c r="AM61">
        <f t="shared" si="10"/>
        <v>19.24</v>
      </c>
      <c r="AN61" s="42"/>
      <c r="AO61" s="42"/>
      <c r="AP61" s="4" t="s">
        <v>140</v>
      </c>
    </row>
    <row r="62" s="1" customFormat="1" spans="1:42">
      <c r="A62" s="49" t="str">
        <f>'[1]final 5-J'!A18</f>
        <v>08</v>
      </c>
      <c r="B62" s="50" t="str">
        <f>'RELACION GENERAL'!C13</f>
        <v>JUSCAMAYTA HUARACC YOSSIMAR BAYRON</v>
      </c>
      <c r="C62" s="74"/>
      <c r="D62" s="74"/>
      <c r="E62" s="47" t="s">
        <v>135</v>
      </c>
      <c r="F62" s="47" t="s">
        <v>135</v>
      </c>
      <c r="G62" s="47" t="s">
        <v>135</v>
      </c>
      <c r="H62" s="47" t="s">
        <v>135</v>
      </c>
      <c r="I62" s="47" t="s">
        <v>135</v>
      </c>
      <c r="J62" s="47" t="s">
        <v>135</v>
      </c>
      <c r="K62" s="47" t="s">
        <v>135</v>
      </c>
      <c r="L62" s="47" t="s">
        <v>135</v>
      </c>
      <c r="M62" s="47" t="s">
        <v>135</v>
      </c>
      <c r="N62" s="47" t="s">
        <v>135</v>
      </c>
      <c r="O62" s="47" t="s">
        <v>135</v>
      </c>
      <c r="P62" s="47" t="s">
        <v>135</v>
      </c>
      <c r="Q62" s="47" t="s">
        <v>135</v>
      </c>
      <c r="R62" s="47" t="s">
        <v>135</v>
      </c>
      <c r="S62" s="47"/>
      <c r="T62" s="47" t="s">
        <v>135</v>
      </c>
      <c r="U62" s="47" t="s">
        <v>135</v>
      </c>
      <c r="V62" s="47"/>
      <c r="W62" s="47" t="s">
        <v>135</v>
      </c>
      <c r="X62" s="47" t="s">
        <v>135</v>
      </c>
      <c r="Y62" s="47" t="s">
        <v>135</v>
      </c>
      <c r="Z62" s="47" t="s">
        <v>135</v>
      </c>
      <c r="AA62" s="47" t="s">
        <v>135</v>
      </c>
      <c r="AB62" s="47"/>
      <c r="AC62" s="47" t="s">
        <v>138</v>
      </c>
      <c r="AD62" s="47" t="s">
        <v>138</v>
      </c>
      <c r="AE62" s="47"/>
      <c r="AF62" s="56"/>
      <c r="AG62" s="56"/>
      <c r="AH62" s="56"/>
      <c r="AI62">
        <v>2</v>
      </c>
      <c r="AJ62" s="1">
        <f t="shared" si="11"/>
        <v>23</v>
      </c>
      <c r="AK62" s="1">
        <f t="shared" si="9"/>
        <v>25</v>
      </c>
      <c r="AL62" s="1">
        <v>0.74</v>
      </c>
      <c r="AM62" s="1">
        <f t="shared" si="10"/>
        <v>18.5</v>
      </c>
      <c r="AN62" s="76"/>
      <c r="AO62" s="76"/>
      <c r="AP62" s="57" t="s">
        <v>140</v>
      </c>
    </row>
    <row r="63" spans="1:42">
      <c r="A63" s="41" t="str">
        <f>'[1]final 5-J'!A19</f>
        <v>09</v>
      </c>
      <c r="B63" s="45" t="str">
        <f>'RELACION GENERAL'!C14</f>
        <v>LEVANO GALINDO CRISTOPHER ANDRES</v>
      </c>
      <c r="C63" s="71"/>
      <c r="D63" s="71"/>
      <c r="E63" s="47" t="s">
        <v>135</v>
      </c>
      <c r="F63" s="47" t="s">
        <v>135</v>
      </c>
      <c r="G63" s="47" t="s">
        <v>135</v>
      </c>
      <c r="H63" s="47" t="s">
        <v>135</v>
      </c>
      <c r="I63" s="47" t="s">
        <v>135</v>
      </c>
      <c r="J63" s="47" t="s">
        <v>135</v>
      </c>
      <c r="K63" s="47" t="s">
        <v>135</v>
      </c>
      <c r="L63" s="47" t="s">
        <v>135</v>
      </c>
      <c r="M63" s="47" t="s">
        <v>135</v>
      </c>
      <c r="N63" s="47" t="s">
        <v>135</v>
      </c>
      <c r="O63" s="47" t="s">
        <v>135</v>
      </c>
      <c r="P63" s="47" t="s">
        <v>135</v>
      </c>
      <c r="Q63" s="47" t="s">
        <v>135</v>
      </c>
      <c r="R63" s="47" t="s">
        <v>135</v>
      </c>
      <c r="S63" s="47"/>
      <c r="T63" s="47" t="s">
        <v>135</v>
      </c>
      <c r="U63" s="47" t="s">
        <v>135</v>
      </c>
      <c r="V63" s="47" t="s">
        <v>135</v>
      </c>
      <c r="W63" s="47" t="s">
        <v>135</v>
      </c>
      <c r="X63" s="47" t="s">
        <v>135</v>
      </c>
      <c r="Y63" s="47" t="s">
        <v>135</v>
      </c>
      <c r="Z63" s="47" t="s">
        <v>135</v>
      </c>
      <c r="AA63" s="47" t="s">
        <v>135</v>
      </c>
      <c r="AB63" s="47"/>
      <c r="AC63" s="47" t="s">
        <v>138</v>
      </c>
      <c r="AD63" s="47" t="s">
        <v>138</v>
      </c>
      <c r="AE63" s="47"/>
      <c r="AF63" s="47"/>
      <c r="AG63" s="47"/>
      <c r="AH63" s="47"/>
      <c r="AI63">
        <v>2</v>
      </c>
      <c r="AJ63">
        <f t="shared" si="11"/>
        <v>24</v>
      </c>
      <c r="AK63">
        <f t="shared" si="9"/>
        <v>26</v>
      </c>
      <c r="AL63">
        <v>0.74</v>
      </c>
      <c r="AM63">
        <f t="shared" si="10"/>
        <v>19.24</v>
      </c>
      <c r="AN63" s="42"/>
      <c r="AO63" s="42"/>
      <c r="AP63" s="4" t="s">
        <v>140</v>
      </c>
    </row>
    <row r="64" spans="1:42">
      <c r="A64" s="41" t="str">
        <f>'[1]final 5-J'!A20</f>
        <v>10</v>
      </c>
      <c r="B64" s="45" t="str">
        <f>'RELACION GENERAL'!C15</f>
        <v>LINARES ZAPATA CARLOS ALBERTO</v>
      </c>
      <c r="C64" s="72"/>
      <c r="D64" s="72"/>
      <c r="E64" s="47" t="s">
        <v>135</v>
      </c>
      <c r="F64" s="47"/>
      <c r="G64" s="47" t="s">
        <v>135</v>
      </c>
      <c r="H64" s="47"/>
      <c r="I64" s="47"/>
      <c r="J64" s="47"/>
      <c r="K64" s="47" t="s">
        <v>135</v>
      </c>
      <c r="L64" s="47" t="s">
        <v>135</v>
      </c>
      <c r="M64" s="47" t="s">
        <v>135</v>
      </c>
      <c r="N64" s="47" t="s">
        <v>135</v>
      </c>
      <c r="O64" s="47"/>
      <c r="P64" s="47"/>
      <c r="Q64" s="47" t="s">
        <v>135</v>
      </c>
      <c r="R64" s="47" t="s">
        <v>135</v>
      </c>
      <c r="S64" s="47"/>
      <c r="T64" s="47" t="s">
        <v>135</v>
      </c>
      <c r="U64" s="47" t="s">
        <v>135</v>
      </c>
      <c r="V64" s="47"/>
      <c r="W64" s="47" t="s">
        <v>135</v>
      </c>
      <c r="X64" s="47" t="s">
        <v>135</v>
      </c>
      <c r="Y64" s="47" t="s">
        <v>135</v>
      </c>
      <c r="Z64" s="47" t="s">
        <v>135</v>
      </c>
      <c r="AA64" s="47" t="s">
        <v>135</v>
      </c>
      <c r="AB64" s="47"/>
      <c r="AC64" s="47" t="s">
        <v>138</v>
      </c>
      <c r="AD64" s="47" t="s">
        <v>138</v>
      </c>
      <c r="AE64" s="47"/>
      <c r="AF64" s="47"/>
      <c r="AG64" s="47"/>
      <c r="AH64" s="47"/>
      <c r="AI64">
        <v>2</v>
      </c>
      <c r="AJ64">
        <f t="shared" si="11"/>
        <v>17</v>
      </c>
      <c r="AK64">
        <f t="shared" si="9"/>
        <v>19</v>
      </c>
      <c r="AL64">
        <v>0.74</v>
      </c>
      <c r="AM64">
        <f t="shared" si="10"/>
        <v>14.06</v>
      </c>
      <c r="AN64" s="42"/>
      <c r="AO64" s="42"/>
      <c r="AP64" s="4" t="s">
        <v>161</v>
      </c>
    </row>
    <row r="65" spans="1:42">
      <c r="A65" s="41" t="str">
        <f>'[1]final 5-J'!A21</f>
        <v>11</v>
      </c>
      <c r="B65" s="45" t="str">
        <f>'RELACION GENERAL'!C16</f>
        <v>MOZO HUAYRA PEDRO CALEB</v>
      </c>
      <c r="C65" s="71"/>
      <c r="D65" s="71"/>
      <c r="E65" s="47" t="s">
        <v>135</v>
      </c>
      <c r="F65" s="47" t="s">
        <v>135</v>
      </c>
      <c r="G65" s="47" t="s">
        <v>135</v>
      </c>
      <c r="H65" s="47" t="s">
        <v>135</v>
      </c>
      <c r="I65" s="47" t="s">
        <v>135</v>
      </c>
      <c r="J65" s="47" t="s">
        <v>135</v>
      </c>
      <c r="K65" s="47" t="s">
        <v>135</v>
      </c>
      <c r="L65" s="47" t="s">
        <v>135</v>
      </c>
      <c r="M65" s="47" t="s">
        <v>135</v>
      </c>
      <c r="N65" s="47" t="s">
        <v>135</v>
      </c>
      <c r="O65" s="47" t="s">
        <v>135</v>
      </c>
      <c r="P65" s="47"/>
      <c r="Q65" s="47" t="s">
        <v>135</v>
      </c>
      <c r="R65" s="47" t="s">
        <v>135</v>
      </c>
      <c r="S65" s="47" t="s">
        <v>135</v>
      </c>
      <c r="T65" s="47" t="s">
        <v>135</v>
      </c>
      <c r="U65" s="47" t="s">
        <v>135</v>
      </c>
      <c r="V65" s="47" t="s">
        <v>135</v>
      </c>
      <c r="W65" s="47" t="s">
        <v>135</v>
      </c>
      <c r="X65" s="47" t="s">
        <v>135</v>
      </c>
      <c r="Y65" s="47" t="s">
        <v>135</v>
      </c>
      <c r="Z65" s="47" t="s">
        <v>135</v>
      </c>
      <c r="AA65" s="47" t="s">
        <v>135</v>
      </c>
      <c r="AB65" s="47"/>
      <c r="AC65" s="47" t="s">
        <v>138</v>
      </c>
      <c r="AD65" s="47" t="s">
        <v>138</v>
      </c>
      <c r="AE65" s="47"/>
      <c r="AF65" s="47"/>
      <c r="AG65" s="47"/>
      <c r="AH65" s="47"/>
      <c r="AI65">
        <v>2</v>
      </c>
      <c r="AJ65">
        <f t="shared" si="11"/>
        <v>24</v>
      </c>
      <c r="AK65">
        <f t="shared" si="9"/>
        <v>26</v>
      </c>
      <c r="AL65">
        <v>0.74</v>
      </c>
      <c r="AM65">
        <f t="shared" si="10"/>
        <v>19.24</v>
      </c>
      <c r="AN65" s="42"/>
      <c r="AO65" s="42"/>
      <c r="AP65" s="4" t="s">
        <v>140</v>
      </c>
    </row>
    <row r="66" spans="1:42">
      <c r="A66" s="41" t="str">
        <f>'[1]final 5-J'!A22</f>
        <v>12</v>
      </c>
      <c r="B66" s="45" t="str">
        <f>'RELACION GENERAL'!C17</f>
        <v>NECOCHEA CASTILLO ANTHONY ORLANDO</v>
      </c>
      <c r="C66" s="72"/>
      <c r="D66" s="72"/>
      <c r="E66" s="47" t="s">
        <v>135</v>
      </c>
      <c r="F66" s="47" t="s">
        <v>135</v>
      </c>
      <c r="G66" s="47" t="s">
        <v>135</v>
      </c>
      <c r="H66" s="47" t="s">
        <v>135</v>
      </c>
      <c r="I66" s="47" t="s">
        <v>135</v>
      </c>
      <c r="J66" s="47" t="s">
        <v>135</v>
      </c>
      <c r="K66" s="47" t="s">
        <v>135</v>
      </c>
      <c r="L66" s="47" t="s">
        <v>135</v>
      </c>
      <c r="M66" s="47" t="s">
        <v>135</v>
      </c>
      <c r="N66" s="47"/>
      <c r="O66" s="47" t="s">
        <v>135</v>
      </c>
      <c r="P66" s="47" t="s">
        <v>135</v>
      </c>
      <c r="Q66" s="47" t="s">
        <v>135</v>
      </c>
      <c r="R66" s="47" t="s">
        <v>135</v>
      </c>
      <c r="S66" s="47"/>
      <c r="T66" s="47"/>
      <c r="U66" s="47" t="s">
        <v>135</v>
      </c>
      <c r="V66" s="47"/>
      <c r="W66" s="47" t="s">
        <v>135</v>
      </c>
      <c r="X66" s="47" t="s">
        <v>135</v>
      </c>
      <c r="Y66" s="47" t="s">
        <v>135</v>
      </c>
      <c r="Z66" s="47" t="s">
        <v>135</v>
      </c>
      <c r="AA66" s="47" t="s">
        <v>135</v>
      </c>
      <c r="AB66" s="47"/>
      <c r="AC66" s="47" t="s">
        <v>138</v>
      </c>
      <c r="AD66" s="47" t="s">
        <v>138</v>
      </c>
      <c r="AE66" s="47"/>
      <c r="AF66" s="47"/>
      <c r="AG66" s="47"/>
      <c r="AH66" s="47"/>
      <c r="AI66">
        <v>2</v>
      </c>
      <c r="AJ66">
        <f t="shared" si="11"/>
        <v>21</v>
      </c>
      <c r="AK66">
        <f t="shared" si="9"/>
        <v>23</v>
      </c>
      <c r="AL66">
        <v>0.74</v>
      </c>
      <c r="AM66">
        <f t="shared" si="10"/>
        <v>17.02</v>
      </c>
      <c r="AN66" s="42"/>
      <c r="AO66" s="42"/>
      <c r="AP66" s="4" t="s">
        <v>163</v>
      </c>
    </row>
    <row r="67" spans="1:42">
      <c r="A67" s="41" t="str">
        <f>'[1]final 5-J'!A23</f>
        <v>13</v>
      </c>
      <c r="B67" s="45" t="str">
        <f>'RELACION GENERAL'!C18</f>
        <v>ÑAÑEZ CARRASQUEL DIEGO ALEJANDRO</v>
      </c>
      <c r="C67" s="71"/>
      <c r="D67" s="71"/>
      <c r="E67" s="47" t="s">
        <v>135</v>
      </c>
      <c r="F67" s="47" t="s">
        <v>135</v>
      </c>
      <c r="G67" s="47" t="s">
        <v>135</v>
      </c>
      <c r="H67" s="47" t="s">
        <v>135</v>
      </c>
      <c r="I67" s="47" t="s">
        <v>135</v>
      </c>
      <c r="J67" s="47" t="s">
        <v>135</v>
      </c>
      <c r="K67" s="47"/>
      <c r="L67" s="47" t="s">
        <v>135</v>
      </c>
      <c r="M67" s="47" t="s">
        <v>135</v>
      </c>
      <c r="N67" s="47" t="s">
        <v>135</v>
      </c>
      <c r="O67" s="47" t="s">
        <v>135</v>
      </c>
      <c r="P67" s="47" t="s">
        <v>135</v>
      </c>
      <c r="Q67" s="47" t="s">
        <v>135</v>
      </c>
      <c r="R67" s="47" t="s">
        <v>135</v>
      </c>
      <c r="S67" s="47" t="s">
        <v>135</v>
      </c>
      <c r="T67" s="47" t="s">
        <v>135</v>
      </c>
      <c r="U67" s="47" t="s">
        <v>135</v>
      </c>
      <c r="V67" s="47"/>
      <c r="W67" s="47"/>
      <c r="X67" s="47"/>
      <c r="Y67" s="47"/>
      <c r="Z67" s="47"/>
      <c r="AA67" s="47"/>
      <c r="AB67" s="47"/>
      <c r="AC67" s="47" t="s">
        <v>138</v>
      </c>
      <c r="AD67" s="47" t="s">
        <v>138</v>
      </c>
      <c r="AE67" s="47"/>
      <c r="AF67" s="47"/>
      <c r="AG67" s="47"/>
      <c r="AH67" s="47"/>
      <c r="AI67">
        <v>2</v>
      </c>
      <c r="AJ67">
        <f t="shared" si="11"/>
        <v>18</v>
      </c>
      <c r="AK67">
        <f t="shared" si="9"/>
        <v>20</v>
      </c>
      <c r="AL67">
        <v>0.74</v>
      </c>
      <c r="AM67">
        <f t="shared" si="10"/>
        <v>14.8</v>
      </c>
      <c r="AN67" s="42"/>
      <c r="AO67" s="42"/>
      <c r="AP67" s="4" t="s">
        <v>161</v>
      </c>
    </row>
    <row r="68" spans="1:42">
      <c r="A68" s="41" t="str">
        <f>'[1]final 5-J'!A24</f>
        <v>14</v>
      </c>
      <c r="B68" s="45" t="str">
        <f>'RELACION GENERAL'!C19</f>
        <v>PEREZ MUÑOZ SAMIER ALEJANDRO</v>
      </c>
      <c r="C68" s="71"/>
      <c r="D68" s="71"/>
      <c r="E68" s="47" t="s">
        <v>135</v>
      </c>
      <c r="F68" s="47" t="s">
        <v>135</v>
      </c>
      <c r="G68" s="47" t="s">
        <v>135</v>
      </c>
      <c r="H68" s="47" t="s">
        <v>135</v>
      </c>
      <c r="I68" s="47" t="s">
        <v>135</v>
      </c>
      <c r="J68" s="47" t="s">
        <v>135</v>
      </c>
      <c r="K68" s="47" t="s">
        <v>135</v>
      </c>
      <c r="L68" s="47" t="s">
        <v>135</v>
      </c>
      <c r="M68" s="47" t="s">
        <v>135</v>
      </c>
      <c r="N68" s="47" t="s">
        <v>135</v>
      </c>
      <c r="O68" s="47"/>
      <c r="P68" s="47"/>
      <c r="Q68" s="47" t="s">
        <v>135</v>
      </c>
      <c r="R68" s="47" t="s">
        <v>135</v>
      </c>
      <c r="S68" s="47" t="s">
        <v>135</v>
      </c>
      <c r="T68" s="47"/>
      <c r="U68" s="47" t="s">
        <v>135</v>
      </c>
      <c r="V68" s="47" t="s">
        <v>135</v>
      </c>
      <c r="W68" s="47" t="s">
        <v>135</v>
      </c>
      <c r="X68" s="47" t="s">
        <v>135</v>
      </c>
      <c r="Y68" s="47" t="s">
        <v>135</v>
      </c>
      <c r="Z68" s="47" t="s">
        <v>135</v>
      </c>
      <c r="AA68" s="47" t="s">
        <v>135</v>
      </c>
      <c r="AB68" s="47"/>
      <c r="AC68" s="47" t="s">
        <v>138</v>
      </c>
      <c r="AD68" s="47" t="s">
        <v>138</v>
      </c>
      <c r="AE68" s="47"/>
      <c r="AF68" s="47"/>
      <c r="AG68" s="47"/>
      <c r="AH68" s="47"/>
      <c r="AI68">
        <v>2</v>
      </c>
      <c r="AJ68">
        <f t="shared" si="11"/>
        <v>22</v>
      </c>
      <c r="AK68">
        <f t="shared" si="9"/>
        <v>24</v>
      </c>
      <c r="AL68">
        <v>0.74</v>
      </c>
      <c r="AM68">
        <f t="shared" si="10"/>
        <v>17.76</v>
      </c>
      <c r="AN68" s="42"/>
      <c r="AO68" s="42"/>
      <c r="AP68" s="4" t="s">
        <v>163</v>
      </c>
    </row>
    <row r="69" spans="1:42">
      <c r="A69" s="41" t="str">
        <f>'[1]final 5-J'!A25</f>
        <v>15</v>
      </c>
      <c r="B69" s="45" t="str">
        <f>'RELACION GENERAL'!C20</f>
        <v>PICHARDE AQUINO CARLOS GABRIEL</v>
      </c>
      <c r="C69" s="72"/>
      <c r="D69" s="72"/>
      <c r="E69" s="47" t="s">
        <v>135</v>
      </c>
      <c r="F69" s="47"/>
      <c r="G69" s="47" t="s">
        <v>135</v>
      </c>
      <c r="H69" s="47" t="s">
        <v>135</v>
      </c>
      <c r="I69" s="47" t="s">
        <v>135</v>
      </c>
      <c r="J69" s="47" t="s">
        <v>135</v>
      </c>
      <c r="K69" s="47"/>
      <c r="L69" s="47" t="s">
        <v>135</v>
      </c>
      <c r="M69" s="47" t="s">
        <v>135</v>
      </c>
      <c r="N69" s="47" t="s">
        <v>135</v>
      </c>
      <c r="O69" s="47" t="s">
        <v>135</v>
      </c>
      <c r="P69" s="47"/>
      <c r="Q69" s="47" t="s">
        <v>135</v>
      </c>
      <c r="R69" s="47" t="s">
        <v>135</v>
      </c>
      <c r="S69" s="47" t="s">
        <v>135</v>
      </c>
      <c r="T69" s="47" t="s">
        <v>135</v>
      </c>
      <c r="U69" s="47" t="s">
        <v>135</v>
      </c>
      <c r="V69" s="47"/>
      <c r="W69" s="47" t="s">
        <v>135</v>
      </c>
      <c r="X69" s="47" t="s">
        <v>135</v>
      </c>
      <c r="Y69" s="47" t="s">
        <v>135</v>
      </c>
      <c r="Z69" s="47" t="s">
        <v>135</v>
      </c>
      <c r="AA69" s="47" t="s">
        <v>135</v>
      </c>
      <c r="AB69" s="47"/>
      <c r="AC69" s="47" t="s">
        <v>138</v>
      </c>
      <c r="AD69" s="47" t="s">
        <v>138</v>
      </c>
      <c r="AE69" s="47"/>
      <c r="AF69" s="47"/>
      <c r="AG69" s="47"/>
      <c r="AH69" s="47"/>
      <c r="AI69">
        <v>2</v>
      </c>
      <c r="AJ69">
        <f t="shared" si="11"/>
        <v>21</v>
      </c>
      <c r="AK69">
        <f t="shared" si="9"/>
        <v>23</v>
      </c>
      <c r="AL69">
        <v>0.74</v>
      </c>
      <c r="AM69">
        <f t="shared" si="10"/>
        <v>17.02</v>
      </c>
      <c r="AN69" s="42"/>
      <c r="AO69" s="42"/>
      <c r="AP69" s="4" t="s">
        <v>163</v>
      </c>
    </row>
    <row r="70" spans="1:42">
      <c r="A70" s="41" t="str">
        <f>'[1]final 5-J'!A26</f>
        <v>16</v>
      </c>
      <c r="B70" s="45" t="str">
        <f>'RELACION GENERAL'!C21</f>
        <v>VEGA CANALES ALVEYRO CRISTOBAL</v>
      </c>
      <c r="C70" s="72"/>
      <c r="D70" s="72"/>
      <c r="E70" s="47" t="s">
        <v>135</v>
      </c>
      <c r="F70" s="47" t="s">
        <v>135</v>
      </c>
      <c r="G70" s="47" t="s">
        <v>135</v>
      </c>
      <c r="H70" s="47"/>
      <c r="I70" s="47" t="s">
        <v>135</v>
      </c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 t="s">
        <v>135</v>
      </c>
      <c r="W70" s="47"/>
      <c r="X70" s="47"/>
      <c r="Y70" s="47"/>
      <c r="Z70" s="47"/>
      <c r="AA70" s="47"/>
      <c r="AB70" s="47"/>
      <c r="AC70" s="47" t="s">
        <v>138</v>
      </c>
      <c r="AD70" s="47" t="s">
        <v>138</v>
      </c>
      <c r="AE70" s="47"/>
      <c r="AF70" s="47"/>
      <c r="AG70" s="47"/>
      <c r="AH70" s="47"/>
      <c r="AI70">
        <v>2</v>
      </c>
      <c r="AJ70">
        <f t="shared" si="11"/>
        <v>7</v>
      </c>
      <c r="AK70">
        <f t="shared" si="9"/>
        <v>9</v>
      </c>
      <c r="AL70">
        <v>0.74</v>
      </c>
      <c r="AM70">
        <f t="shared" si="10"/>
        <v>6.66</v>
      </c>
      <c r="AN70" s="42"/>
      <c r="AO70" s="42"/>
      <c r="AP70" s="4" t="s">
        <v>164</v>
      </c>
    </row>
    <row r="71" spans="1:41">
      <c r="A71" s="41" t="str">
        <f>'[1]final 5-J'!A27</f>
        <v>17</v>
      </c>
      <c r="B71" s="45"/>
      <c r="C71" s="72"/>
      <c r="D71" s="72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J71">
        <f t="shared" si="11"/>
        <v>0</v>
      </c>
      <c r="AK71">
        <f t="shared" si="9"/>
        <v>0</v>
      </c>
      <c r="AL71">
        <v>0.74</v>
      </c>
      <c r="AM71">
        <f t="shared" si="10"/>
        <v>0</v>
      </c>
      <c r="AN71" s="42"/>
      <c r="AO71" s="42"/>
    </row>
    <row r="72" spans="1:41">
      <c r="A72" s="41" t="str">
        <f>'[1]final 5-J'!A28</f>
        <v>18</v>
      </c>
      <c r="B72" s="45"/>
      <c r="C72" s="72"/>
      <c r="D72" s="72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>
        <v>2</v>
      </c>
      <c r="AJ72">
        <f t="shared" si="11"/>
        <v>0</v>
      </c>
      <c r="AK72">
        <f t="shared" si="9"/>
        <v>2</v>
      </c>
      <c r="AL72">
        <v>0.74</v>
      </c>
      <c r="AM72">
        <f t="shared" si="10"/>
        <v>1.48</v>
      </c>
      <c r="AN72" s="42"/>
      <c r="AO72" s="42"/>
    </row>
    <row r="73" spans="1:41">
      <c r="A73" s="41" t="str">
        <f>'[1]final 5-J'!A29</f>
        <v>19</v>
      </c>
      <c r="B73" s="45"/>
      <c r="C73" s="72"/>
      <c r="D73" s="72"/>
      <c r="E73" s="77"/>
      <c r="AN73" s="42" t="s">
        <v>163</v>
      </c>
      <c r="AO73" s="42"/>
    </row>
    <row r="74" s="4" customFormat="1" spans="1:34">
      <c r="A74" s="42" t="str">
        <f>'[1]final 5-J'!A30</f>
        <v>20</v>
      </c>
      <c r="B74" s="78"/>
      <c r="C74" s="79"/>
      <c r="D74" s="79"/>
      <c r="E74" s="59">
        <f t="shared" ref="E74:AA74" si="12">COUNTIF(E55:E72,"OK")</f>
        <v>14</v>
      </c>
      <c r="F74" s="59">
        <f t="shared" si="12"/>
        <v>14</v>
      </c>
      <c r="G74" s="59">
        <f t="shared" si="12"/>
        <v>16</v>
      </c>
      <c r="H74" s="59">
        <f t="shared" si="12"/>
        <v>13</v>
      </c>
      <c r="I74" s="59">
        <f t="shared" si="12"/>
        <v>13</v>
      </c>
      <c r="J74" s="59">
        <f t="shared" si="12"/>
        <v>14</v>
      </c>
      <c r="K74" s="59">
        <f t="shared" si="12"/>
        <v>13</v>
      </c>
      <c r="L74" s="59">
        <f t="shared" si="12"/>
        <v>15</v>
      </c>
      <c r="M74" s="59">
        <f t="shared" si="12"/>
        <v>14</v>
      </c>
      <c r="N74" s="59">
        <f t="shared" si="12"/>
        <v>12</v>
      </c>
      <c r="O74" s="59">
        <f t="shared" si="12"/>
        <v>12</v>
      </c>
      <c r="P74" s="59">
        <f t="shared" si="12"/>
        <v>8</v>
      </c>
      <c r="Q74" s="59">
        <f t="shared" si="12"/>
        <v>14</v>
      </c>
      <c r="R74" s="59">
        <f t="shared" si="12"/>
        <v>14</v>
      </c>
      <c r="S74" s="59">
        <f t="shared" si="12"/>
        <v>8</v>
      </c>
      <c r="T74" s="59">
        <f t="shared" si="12"/>
        <v>11</v>
      </c>
      <c r="U74" s="59">
        <f t="shared" si="12"/>
        <v>14</v>
      </c>
      <c r="V74" s="59">
        <f t="shared" si="12"/>
        <v>9</v>
      </c>
      <c r="W74" s="59">
        <f t="shared" si="12"/>
        <v>13</v>
      </c>
      <c r="X74" s="59">
        <f t="shared" si="12"/>
        <v>12</v>
      </c>
      <c r="Y74" s="59">
        <f t="shared" si="12"/>
        <v>14</v>
      </c>
      <c r="Z74" s="59">
        <f t="shared" si="12"/>
        <v>13</v>
      </c>
      <c r="AA74" s="59">
        <f t="shared" si="12"/>
        <v>14</v>
      </c>
      <c r="AB74" s="59">
        <f t="shared" ref="AB74:AH74" si="13">COUNTIF(AB55:AB69,"OK")</f>
        <v>0</v>
      </c>
      <c r="AC74" s="59">
        <f t="shared" si="13"/>
        <v>15</v>
      </c>
      <c r="AD74" s="59">
        <f t="shared" si="13"/>
        <v>15</v>
      </c>
      <c r="AE74" s="59">
        <f t="shared" si="13"/>
        <v>0</v>
      </c>
      <c r="AF74" s="59">
        <f t="shared" si="13"/>
        <v>0</v>
      </c>
      <c r="AG74" s="59">
        <f t="shared" si="13"/>
        <v>0</v>
      </c>
      <c r="AH74" s="59">
        <f t="shared" si="13"/>
        <v>0</v>
      </c>
    </row>
    <row r="75" ht="18.75" spans="2:34">
      <c r="B75" s="60"/>
      <c r="E75" s="61"/>
      <c r="F75" s="61"/>
      <c r="G75" s="2"/>
      <c r="H75" s="62"/>
      <c r="I75" s="66" t="s">
        <v>135</v>
      </c>
      <c r="J75" s="62" t="s">
        <v>148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8" spans="2:10">
      <c r="B76" s="80"/>
      <c r="E76" s="62"/>
      <c r="I76" s="67" t="s">
        <v>135</v>
      </c>
      <c r="J76" s="62" t="s">
        <v>149</v>
      </c>
    </row>
    <row r="77" s="2" customFormat="1" ht="18.75" spans="3:42">
      <c r="C77" s="63" t="s">
        <v>147</v>
      </c>
      <c r="D77" s="63"/>
      <c r="E77" s="64"/>
      <c r="F77" s="64"/>
      <c r="G77"/>
      <c r="H77" s="3"/>
      <c r="I77" s="68"/>
      <c r="J77" s="62" t="s">
        <v>151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P77" s="63"/>
    </row>
    <row r="78" ht="18" spans="2:4">
      <c r="B78" s="61"/>
      <c r="C78" s="61"/>
      <c r="D78" s="61"/>
    </row>
    <row r="79" ht="21" spans="2:4">
      <c r="B79" s="65"/>
      <c r="C79" s="63" t="s">
        <v>150</v>
      </c>
      <c r="D79" s="63"/>
    </row>
    <row r="80" ht="18" spans="2:4">
      <c r="B80" s="64"/>
      <c r="C80" s="64"/>
      <c r="D80" s="64"/>
    </row>
  </sheetData>
  <mergeCells count="96">
    <mergeCell ref="A1:AE1"/>
    <mergeCell ref="E2:Y2"/>
    <mergeCell ref="Z2:AE2"/>
    <mergeCell ref="E3:G3"/>
    <mergeCell ref="H3:K3"/>
    <mergeCell ref="L3:O3"/>
    <mergeCell ref="P3:S3"/>
    <mergeCell ref="T3:V3"/>
    <mergeCell ref="W3:Y3"/>
    <mergeCell ref="B4:C4"/>
    <mergeCell ref="B5:C5"/>
    <mergeCell ref="B6:C6"/>
    <mergeCell ref="B7:C7"/>
    <mergeCell ref="B8:C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C49:AG49"/>
    <mergeCell ref="E52:G52"/>
    <mergeCell ref="H52:J52"/>
    <mergeCell ref="K52:M52"/>
    <mergeCell ref="N52:P52"/>
    <mergeCell ref="Q52:S52"/>
    <mergeCell ref="T52:V52"/>
    <mergeCell ref="W52:Y52"/>
    <mergeCell ref="Z52:AB52"/>
    <mergeCell ref="AC52:AE52"/>
    <mergeCell ref="AF52:AH52"/>
    <mergeCell ref="AI52:AK52"/>
    <mergeCell ref="E75:F75"/>
    <mergeCell ref="E77:F77"/>
    <mergeCell ref="B78:C78"/>
    <mergeCell ref="B80:C80"/>
    <mergeCell ref="A2:A10"/>
    <mergeCell ref="E4:E10"/>
    <mergeCell ref="F4:F10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R4:R10"/>
    <mergeCell ref="S4:S10"/>
    <mergeCell ref="T4:T10"/>
    <mergeCell ref="U4:U10"/>
    <mergeCell ref="V4:V10"/>
    <mergeCell ref="W4:W10"/>
    <mergeCell ref="X4:X10"/>
    <mergeCell ref="Y4:Y10"/>
    <mergeCell ref="Z3:Z10"/>
    <mergeCell ref="AA3:AA10"/>
    <mergeCell ref="AB3:AB10"/>
    <mergeCell ref="AC3:AC10"/>
    <mergeCell ref="AD3:AD10"/>
    <mergeCell ref="AE3:AE10"/>
    <mergeCell ref="AF3:AF10"/>
    <mergeCell ref="AG3:AG10"/>
    <mergeCell ref="AH3:AH10"/>
    <mergeCell ref="B50:C52"/>
    <mergeCell ref="B9:C10"/>
  </mergeCells>
  <conditionalFormatting sqref="F42">
    <cfRule type="cellIs" dxfId="0" priority="13" stopIfTrue="1" operator="lessThan">
      <formula>11</formula>
    </cfRule>
    <cfRule type="cellIs" dxfId="1" priority="14" stopIfTrue="1" operator="greaterThan">
      <formula>10</formula>
    </cfRule>
    <cfRule type="cellIs" dxfId="2" priority="15" stopIfTrue="1" operator="lessThan">
      <formula>11</formula>
    </cfRule>
  </conditionalFormatting>
  <conditionalFormatting sqref="M42:N42">
    <cfRule type="cellIs" dxfId="0" priority="16" stopIfTrue="1" operator="lessThan">
      <formula>11</formula>
    </cfRule>
    <cfRule type="cellIs" dxfId="1" priority="17" stopIfTrue="1" operator="greaterThan">
      <formula>10</formula>
    </cfRule>
    <cfRule type="cellIs" dxfId="2" priority="18" stopIfTrue="1" operator="lessThan">
      <formula>11</formula>
    </cfRule>
  </conditionalFormatting>
  <conditionalFormatting sqref="X11:X43">
    <cfRule type="cellIs" dxfId="0" priority="37" stopIfTrue="1" operator="lessThan">
      <formula>11</formula>
    </cfRule>
    <cfRule type="cellIs" dxfId="1" priority="38" stopIfTrue="1" operator="greaterThan">
      <formula>10</formula>
    </cfRule>
    <cfRule type="cellIs" dxfId="2" priority="39" stopIfTrue="1" operator="lessThan">
      <formula>11</formula>
    </cfRule>
  </conditionalFormatting>
  <conditionalFormatting sqref="Y11:Y43">
    <cfRule type="cellIs" dxfId="3" priority="19" stopIfTrue="1" operator="lessThan">
      <formula>11</formula>
    </cfRule>
    <cfRule type="cellIs" dxfId="1" priority="20" stopIfTrue="1" operator="greaterThan">
      <formula>10</formula>
    </cfRule>
    <cfRule type="cellIs" dxfId="2" priority="21" stopIfTrue="1" operator="lessThan">
      <formula>11</formula>
    </cfRule>
  </conditionalFormatting>
  <conditionalFormatting sqref="Y13:Y43">
    <cfRule type="cellIs" dxfId="3" priority="22" stopIfTrue="1" operator="lessThan">
      <formula>11</formula>
    </cfRule>
    <cfRule type="cellIs" dxfId="1" priority="23" stopIfTrue="1" operator="greaterThan">
      <formula>10</formula>
    </cfRule>
    <cfRule type="cellIs" dxfId="2" priority="24" stopIfTrue="1" operator="lessThan">
      <formula>11</formula>
    </cfRule>
  </conditionalFormatting>
  <conditionalFormatting sqref="H11:K43">
    <cfRule type="cellIs" dxfId="0" priority="28" stopIfTrue="1" operator="lessThan">
      <formula>11</formula>
    </cfRule>
    <cfRule type="cellIs" dxfId="1" priority="29" stopIfTrue="1" operator="greaterThan">
      <formula>10</formula>
    </cfRule>
    <cfRule type="cellIs" dxfId="2" priority="30" stopIfTrue="1" operator="lessThan">
      <formula>11</formula>
    </cfRule>
  </conditionalFormatting>
  <conditionalFormatting sqref="W11:X43">
    <cfRule type="cellIs" dxfId="0" priority="31" stopIfTrue="1" operator="lessThan">
      <formula>11</formula>
    </cfRule>
    <cfRule type="cellIs" dxfId="1" priority="32" stopIfTrue="1" operator="greaterThan">
      <formula>10</formula>
    </cfRule>
    <cfRule type="cellIs" dxfId="2" priority="33" stopIfTrue="1" operator="lessThan">
      <formula>11</formula>
    </cfRule>
  </conditionalFormatting>
  <conditionalFormatting sqref="Z11:AH43">
    <cfRule type="cellIs" dxfId="1" priority="1" stopIfTrue="1" operator="greaterThan">
      <formula>10</formula>
    </cfRule>
    <cfRule type="cellIs" dxfId="4" priority="2" stopIfTrue="1" operator="lessThanOrEqual">
      <formula>10.9</formula>
    </cfRule>
  </conditionalFormatting>
  <printOptions horizontalCentered="1"/>
  <pageMargins left="0.31496062992126" right="0.31496062992126" top="0.748031496062992" bottom="0.748031496062992" header="0.31496062992126" footer="0.31496062992126"/>
  <pageSetup paperSize="9" scale="8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9"/>
  <sheetViews>
    <sheetView zoomScale="110" zoomScaleNormal="110" topLeftCell="A49" workbookViewId="0">
      <pane xSplit="4" ySplit="1" topLeftCell="V50" activePane="bottomRight" state="frozen"/>
      <selection/>
      <selection pane="topRight"/>
      <selection pane="bottomLeft"/>
      <selection pane="bottomRight" activeCell="AA56" sqref="AA56"/>
    </sheetView>
  </sheetViews>
  <sheetFormatPr defaultColWidth="10.752380952381" defaultRowHeight="15"/>
  <cols>
    <col min="1" max="1" width="3.87619047619048" customWidth="1"/>
    <col min="2" max="2" width="41.1238095238095" customWidth="1"/>
    <col min="3" max="3" width="16.247619047619" hidden="1" customWidth="1"/>
    <col min="4" max="4" width="18.3714285714286" hidden="1" customWidth="1"/>
    <col min="5" max="5" width="9.12380952380952" style="3" customWidth="1"/>
    <col min="6" max="6" width="11.1238095238095" style="3" customWidth="1"/>
    <col min="7" max="7" width="9.12380952380952" customWidth="1"/>
    <col min="8" max="8" width="9.12380952380952" style="3" customWidth="1"/>
    <col min="9" max="9" width="10" style="3" customWidth="1"/>
    <col min="10" max="10" width="9.12380952380952" style="3" customWidth="1"/>
    <col min="11" max="34" width="9.12380952380952" customWidth="1"/>
    <col min="40" max="40" width="10.752380952381" style="4"/>
  </cols>
  <sheetData>
    <row r="1" ht="15.75" hidden="1" customHeight="1" spans="1:34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6.5" hidden="1" customHeight="1" spans="1:34">
      <c r="A2" s="6" t="s">
        <v>49</v>
      </c>
      <c r="B2" s="7"/>
      <c r="C2" s="8" t="s">
        <v>50</v>
      </c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54" t="s">
        <v>51</v>
      </c>
      <c r="AA2" s="54"/>
      <c r="AB2" s="54"/>
      <c r="AC2" s="54"/>
      <c r="AD2" s="54"/>
      <c r="AE2" s="54"/>
      <c r="AF2" s="54" t="s">
        <v>51</v>
      </c>
      <c r="AG2" s="54"/>
      <c r="AH2" s="54"/>
    </row>
    <row r="3" ht="40.5" hidden="1" customHeight="1" spans="1:34">
      <c r="A3" s="6"/>
      <c r="B3" s="11"/>
      <c r="C3" s="12" t="s">
        <v>52</v>
      </c>
      <c r="D3" s="13"/>
      <c r="E3" s="14"/>
      <c r="F3" s="14"/>
      <c r="G3" s="15"/>
      <c r="H3" s="16" t="s">
        <v>53</v>
      </c>
      <c r="I3" s="14"/>
      <c r="J3" s="14"/>
      <c r="K3" s="15"/>
      <c r="L3" s="16" t="s">
        <v>54</v>
      </c>
      <c r="M3" s="14"/>
      <c r="N3" s="14"/>
      <c r="O3" s="15"/>
      <c r="P3" s="16" t="s">
        <v>55</v>
      </c>
      <c r="Q3" s="14"/>
      <c r="R3" s="14"/>
      <c r="S3" s="15"/>
      <c r="T3" s="16" t="s">
        <v>56</v>
      </c>
      <c r="U3" s="14"/>
      <c r="V3" s="14"/>
      <c r="W3" s="16" t="s">
        <v>57</v>
      </c>
      <c r="X3" s="14"/>
      <c r="Y3" s="14"/>
      <c r="Z3" s="55" t="s">
        <v>58</v>
      </c>
      <c r="AA3" s="55" t="s">
        <v>59</v>
      </c>
      <c r="AB3" s="55" t="s">
        <v>60</v>
      </c>
      <c r="AC3" s="55" t="s">
        <v>61</v>
      </c>
      <c r="AD3" s="55" t="s">
        <v>61</v>
      </c>
      <c r="AE3" s="55" t="s">
        <v>61</v>
      </c>
      <c r="AF3" s="55" t="s">
        <v>58</v>
      </c>
      <c r="AG3" s="55" t="s">
        <v>59</v>
      </c>
      <c r="AH3" s="55" t="s">
        <v>60</v>
      </c>
    </row>
    <row r="4" ht="21.95" hidden="1" customHeight="1" spans="1:34">
      <c r="A4" s="6"/>
      <c r="B4" s="17" t="s">
        <v>62</v>
      </c>
      <c r="C4" s="17"/>
      <c r="D4" s="17"/>
      <c r="E4" s="18" t="s">
        <v>63</v>
      </c>
      <c r="F4" s="19"/>
      <c r="G4" s="20" t="s">
        <v>64</v>
      </c>
      <c r="H4" s="18" t="s">
        <v>65</v>
      </c>
      <c r="I4" s="18" t="s">
        <v>66</v>
      </c>
      <c r="J4" s="18" t="s">
        <v>67</v>
      </c>
      <c r="K4" s="20" t="s">
        <v>68</v>
      </c>
      <c r="L4" s="18" t="s">
        <v>69</v>
      </c>
      <c r="M4" s="18" t="s">
        <v>70</v>
      </c>
      <c r="N4" s="19"/>
      <c r="O4" s="20" t="s">
        <v>71</v>
      </c>
      <c r="P4" s="18" t="s">
        <v>72</v>
      </c>
      <c r="Q4" s="18" t="s">
        <v>73</v>
      </c>
      <c r="R4" s="19"/>
      <c r="S4" s="20" t="s">
        <v>74</v>
      </c>
      <c r="T4" s="18" t="s">
        <v>75</v>
      </c>
      <c r="U4" s="19"/>
      <c r="V4" s="19"/>
      <c r="W4" s="18" t="s">
        <v>76</v>
      </c>
      <c r="X4" s="19"/>
      <c r="Y4" s="19"/>
      <c r="Z4" s="55"/>
      <c r="AA4" s="55"/>
      <c r="AB4" s="55"/>
      <c r="AC4" s="55"/>
      <c r="AD4" s="55"/>
      <c r="AE4" s="55"/>
      <c r="AF4" s="55"/>
      <c r="AG4" s="55"/>
      <c r="AH4" s="55"/>
    </row>
    <row r="5" ht="21.95" hidden="1" customHeight="1" spans="1:34">
      <c r="A5" s="6"/>
      <c r="B5" s="21" t="s">
        <v>77</v>
      </c>
      <c r="C5" s="21"/>
      <c r="D5" s="21"/>
      <c r="E5" s="22"/>
      <c r="F5" s="23"/>
      <c r="G5" s="24"/>
      <c r="H5" s="22"/>
      <c r="I5" s="22"/>
      <c r="J5" s="22"/>
      <c r="K5" s="24"/>
      <c r="L5" s="22"/>
      <c r="M5" s="22"/>
      <c r="N5" s="23"/>
      <c r="O5" s="24"/>
      <c r="P5" s="22"/>
      <c r="Q5" s="22"/>
      <c r="R5" s="23"/>
      <c r="S5" s="24"/>
      <c r="T5" s="22"/>
      <c r="U5" s="23"/>
      <c r="V5" s="23"/>
      <c r="W5" s="22"/>
      <c r="X5" s="23"/>
      <c r="Y5" s="23"/>
      <c r="Z5" s="55"/>
      <c r="AA5" s="55"/>
      <c r="AB5" s="55"/>
      <c r="AC5" s="55"/>
      <c r="AD5" s="55"/>
      <c r="AE5" s="55"/>
      <c r="AF5" s="55"/>
      <c r="AG5" s="55"/>
      <c r="AH5" s="55"/>
    </row>
    <row r="6" ht="17.25" hidden="1" customHeight="1" spans="1:34">
      <c r="A6" s="6"/>
      <c r="B6" s="21" t="s">
        <v>78</v>
      </c>
      <c r="C6" s="21"/>
      <c r="D6" s="21"/>
      <c r="E6" s="22"/>
      <c r="F6" s="23"/>
      <c r="G6" s="24"/>
      <c r="H6" s="22"/>
      <c r="I6" s="22"/>
      <c r="J6" s="22"/>
      <c r="K6" s="24"/>
      <c r="L6" s="22"/>
      <c r="M6" s="22"/>
      <c r="N6" s="23"/>
      <c r="O6" s="24"/>
      <c r="P6" s="22"/>
      <c r="Q6" s="22"/>
      <c r="R6" s="23"/>
      <c r="S6" s="24"/>
      <c r="T6" s="22"/>
      <c r="U6" s="23"/>
      <c r="V6" s="23"/>
      <c r="W6" s="22"/>
      <c r="X6" s="23"/>
      <c r="Y6" s="23"/>
      <c r="Z6" s="55"/>
      <c r="AA6" s="55"/>
      <c r="AB6" s="55"/>
      <c r="AC6" s="55"/>
      <c r="AD6" s="55"/>
      <c r="AE6" s="55"/>
      <c r="AF6" s="55"/>
      <c r="AG6" s="55"/>
      <c r="AH6" s="55"/>
    </row>
    <row r="7" ht="18.75" hidden="1" customHeight="1" spans="1:34">
      <c r="A7" s="6"/>
      <c r="B7" s="21" t="s">
        <v>79</v>
      </c>
      <c r="C7" s="21"/>
      <c r="D7" s="21"/>
      <c r="E7" s="22"/>
      <c r="F7" s="23"/>
      <c r="G7" s="24"/>
      <c r="H7" s="22"/>
      <c r="I7" s="22"/>
      <c r="J7" s="22"/>
      <c r="K7" s="24"/>
      <c r="L7" s="22"/>
      <c r="M7" s="22"/>
      <c r="N7" s="23"/>
      <c r="O7" s="24"/>
      <c r="P7" s="22"/>
      <c r="Q7" s="22"/>
      <c r="R7" s="23"/>
      <c r="S7" s="24"/>
      <c r="T7" s="22"/>
      <c r="U7" s="23"/>
      <c r="V7" s="23"/>
      <c r="W7" s="22"/>
      <c r="X7" s="23"/>
      <c r="Y7" s="23"/>
      <c r="Z7" s="55"/>
      <c r="AA7" s="55"/>
      <c r="AB7" s="55"/>
      <c r="AC7" s="55"/>
      <c r="AD7" s="55"/>
      <c r="AE7" s="55"/>
      <c r="AF7" s="55"/>
      <c r="AG7" s="55"/>
      <c r="AH7" s="55"/>
    </row>
    <row r="8" ht="20.25" hidden="1" customHeight="1" spans="1:34">
      <c r="A8" s="6"/>
      <c r="B8" s="25" t="s">
        <v>80</v>
      </c>
      <c r="C8" s="25"/>
      <c r="D8" s="25"/>
      <c r="E8" s="22"/>
      <c r="F8" s="23"/>
      <c r="G8" s="24"/>
      <c r="H8" s="22"/>
      <c r="I8" s="22"/>
      <c r="J8" s="22"/>
      <c r="K8" s="24"/>
      <c r="L8" s="22"/>
      <c r="M8" s="22"/>
      <c r="N8" s="23"/>
      <c r="O8" s="24"/>
      <c r="P8" s="22"/>
      <c r="Q8" s="22"/>
      <c r="R8" s="23"/>
      <c r="S8" s="24"/>
      <c r="T8" s="22"/>
      <c r="U8" s="23"/>
      <c r="V8" s="23"/>
      <c r="W8" s="22"/>
      <c r="X8" s="23"/>
      <c r="Y8" s="23"/>
      <c r="Z8" s="55"/>
      <c r="AA8" s="55"/>
      <c r="AB8" s="55"/>
      <c r="AC8" s="55"/>
      <c r="AD8" s="55"/>
      <c r="AE8" s="55"/>
      <c r="AF8" s="55"/>
      <c r="AG8" s="55"/>
      <c r="AH8" s="55"/>
    </row>
    <row r="9" ht="11.25" hidden="1" customHeight="1" spans="1:34">
      <c r="A9" s="6"/>
      <c r="B9" s="26" t="s">
        <v>81</v>
      </c>
      <c r="C9" s="26"/>
      <c r="D9" s="27"/>
      <c r="E9" s="22"/>
      <c r="F9" s="23"/>
      <c r="G9" s="24"/>
      <c r="H9" s="22"/>
      <c r="I9" s="22"/>
      <c r="J9" s="22"/>
      <c r="K9" s="24"/>
      <c r="L9" s="22"/>
      <c r="M9" s="22"/>
      <c r="N9" s="23"/>
      <c r="O9" s="24"/>
      <c r="P9" s="22"/>
      <c r="Q9" s="22"/>
      <c r="R9" s="23"/>
      <c r="S9" s="24"/>
      <c r="T9" s="22"/>
      <c r="U9" s="23"/>
      <c r="V9" s="23"/>
      <c r="W9" s="22"/>
      <c r="X9" s="23"/>
      <c r="Y9" s="23"/>
      <c r="Z9" s="55"/>
      <c r="AA9" s="55"/>
      <c r="AB9" s="55"/>
      <c r="AC9" s="55"/>
      <c r="AD9" s="55"/>
      <c r="AE9" s="55"/>
      <c r="AF9" s="55"/>
      <c r="AG9" s="55"/>
      <c r="AH9" s="55"/>
    </row>
    <row r="10" hidden="1" customHeight="1" spans="1:34">
      <c r="A10" s="6"/>
      <c r="B10" s="26"/>
      <c r="C10" s="26"/>
      <c r="D10" s="26"/>
      <c r="E10" s="28"/>
      <c r="F10" s="29"/>
      <c r="G10" s="30"/>
      <c r="H10" s="28"/>
      <c r="I10" s="28"/>
      <c r="J10" s="28"/>
      <c r="K10" s="30"/>
      <c r="L10" s="28"/>
      <c r="M10" s="28"/>
      <c r="N10" s="29"/>
      <c r="O10" s="30"/>
      <c r="P10" s="28"/>
      <c r="Q10" s="28"/>
      <c r="R10" s="29"/>
      <c r="S10" s="30"/>
      <c r="T10" s="28"/>
      <c r="U10" s="29"/>
      <c r="V10" s="29"/>
      <c r="W10" s="28"/>
      <c r="X10" s="29"/>
      <c r="Y10" s="29"/>
      <c r="Z10" s="55"/>
      <c r="AA10" s="55"/>
      <c r="AB10" s="55"/>
      <c r="AC10" s="55"/>
      <c r="AD10" s="55"/>
      <c r="AE10" s="55"/>
      <c r="AF10" s="55"/>
      <c r="AG10" s="55"/>
      <c r="AH10" s="55"/>
    </row>
    <row r="11" ht="12" hidden="1" customHeight="1" spans="1:34">
      <c r="A11" s="31" t="s">
        <v>82</v>
      </c>
      <c r="B11" s="32"/>
      <c r="C11" s="32"/>
      <c r="D11" s="32"/>
      <c r="E11" s="33">
        <v>16</v>
      </c>
      <c r="F11" s="33"/>
      <c r="G11" s="33">
        <f t="shared" ref="G11:G43" si="0">ROUND(AVERAGE(E11:F11),0)</f>
        <v>16</v>
      </c>
      <c r="H11" s="33"/>
      <c r="I11" s="33"/>
      <c r="J11" s="33"/>
      <c r="K11" s="33" t="e">
        <f t="shared" ref="K11:K43" si="1">ROUND(AVERAGE(H11:J11),0)</f>
        <v>#DIV/0!</v>
      </c>
      <c r="L11" s="33"/>
      <c r="M11" s="33"/>
      <c r="N11" s="33"/>
      <c r="O11" s="33" t="e">
        <f t="shared" ref="O11:O43" si="2">ROUND(AVERAGE(L11:N11),)</f>
        <v>#DIV/0!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>
        <f t="shared" ref="Z11:Z43" si="3">G11</f>
        <v>16</v>
      </c>
      <c r="AA11" s="33" t="e">
        <f t="shared" ref="AA11:AA43" si="4">K11</f>
        <v>#DIV/0!</v>
      </c>
      <c r="AB11" s="33" t="e">
        <f t="shared" ref="AB11:AB43" si="5">O11</f>
        <v>#DIV/0!</v>
      </c>
      <c r="AC11" s="33"/>
      <c r="AD11" s="33"/>
      <c r="AE11" s="33" t="e">
        <f>#REF!</f>
        <v>#REF!</v>
      </c>
      <c r="AF11" s="33">
        <f t="shared" ref="AF11:AF43" si="6">M11</f>
        <v>0</v>
      </c>
      <c r="AG11" s="33">
        <f t="shared" ref="AG11:AG43" si="7">Q11</f>
        <v>0</v>
      </c>
      <c r="AH11" s="33">
        <f t="shared" ref="AH11:AH43" si="8">U11</f>
        <v>0</v>
      </c>
    </row>
    <row r="12" ht="12" hidden="1" customHeight="1" spans="1:34">
      <c r="A12" s="31" t="s">
        <v>83</v>
      </c>
      <c r="B12" s="32"/>
      <c r="C12" s="32"/>
      <c r="D12" s="32"/>
      <c r="E12" s="33"/>
      <c r="F12" s="33"/>
      <c r="G12" s="33" t="e">
        <f t="shared" si="0"/>
        <v>#DIV/0!</v>
      </c>
      <c r="H12" s="33"/>
      <c r="I12" s="33"/>
      <c r="J12" s="33"/>
      <c r="K12" s="33" t="e">
        <f t="shared" si="1"/>
        <v>#DIV/0!</v>
      </c>
      <c r="L12" s="33"/>
      <c r="M12" s="33"/>
      <c r="N12" s="33"/>
      <c r="O12" s="33" t="e">
        <f t="shared" si="2"/>
        <v>#DIV/0!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 t="e">
        <f t="shared" si="3"/>
        <v>#DIV/0!</v>
      </c>
      <c r="AA12" s="33" t="e">
        <f t="shared" si="4"/>
        <v>#DIV/0!</v>
      </c>
      <c r="AB12" s="33" t="e">
        <f t="shared" si="5"/>
        <v>#DIV/0!</v>
      </c>
      <c r="AC12" s="33"/>
      <c r="AD12" s="33"/>
      <c r="AE12" s="33" t="e">
        <f>#REF!</f>
        <v>#REF!</v>
      </c>
      <c r="AF12" s="33">
        <f t="shared" si="6"/>
        <v>0</v>
      </c>
      <c r="AG12" s="33">
        <f t="shared" si="7"/>
        <v>0</v>
      </c>
      <c r="AH12" s="33">
        <f t="shared" si="8"/>
        <v>0</v>
      </c>
    </row>
    <row r="13" ht="12" hidden="1" customHeight="1" spans="1:34">
      <c r="A13" s="31" t="s">
        <v>84</v>
      </c>
      <c r="B13" s="32"/>
      <c r="C13" s="32"/>
      <c r="D13" s="32"/>
      <c r="E13" s="33"/>
      <c r="F13" s="33"/>
      <c r="G13" s="33" t="e">
        <f t="shared" si="0"/>
        <v>#DIV/0!</v>
      </c>
      <c r="H13" s="33"/>
      <c r="I13" s="33"/>
      <c r="J13" s="33"/>
      <c r="K13" s="33" t="e">
        <f t="shared" si="1"/>
        <v>#DIV/0!</v>
      </c>
      <c r="L13" s="33"/>
      <c r="M13" s="33"/>
      <c r="N13" s="33"/>
      <c r="O13" s="33" t="e">
        <f t="shared" si="2"/>
        <v>#DIV/0!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 t="e">
        <f t="shared" si="3"/>
        <v>#DIV/0!</v>
      </c>
      <c r="AA13" s="33" t="e">
        <f t="shared" si="4"/>
        <v>#DIV/0!</v>
      </c>
      <c r="AB13" s="33" t="e">
        <f t="shared" si="5"/>
        <v>#DIV/0!</v>
      </c>
      <c r="AC13" s="33"/>
      <c r="AD13" s="33"/>
      <c r="AE13" s="33" t="e">
        <f>#REF!</f>
        <v>#REF!</v>
      </c>
      <c r="AF13" s="33">
        <f t="shared" si="6"/>
        <v>0</v>
      </c>
      <c r="AG13" s="33">
        <f t="shared" si="7"/>
        <v>0</v>
      </c>
      <c r="AH13" s="33">
        <f t="shared" si="8"/>
        <v>0</v>
      </c>
    </row>
    <row r="14" ht="12" hidden="1" customHeight="1" spans="1:34">
      <c r="A14" s="31" t="s">
        <v>85</v>
      </c>
      <c r="B14" s="32"/>
      <c r="C14" s="32"/>
      <c r="D14" s="32"/>
      <c r="E14" s="33"/>
      <c r="F14" s="33"/>
      <c r="G14" s="33" t="e">
        <f t="shared" si="0"/>
        <v>#DIV/0!</v>
      </c>
      <c r="H14" s="33"/>
      <c r="I14" s="33"/>
      <c r="J14" s="33"/>
      <c r="K14" s="33" t="e">
        <f t="shared" si="1"/>
        <v>#DIV/0!</v>
      </c>
      <c r="L14" s="33"/>
      <c r="M14" s="33"/>
      <c r="N14" s="33"/>
      <c r="O14" s="33" t="e">
        <f t="shared" si="2"/>
        <v>#DIV/0!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 t="e">
        <f t="shared" si="3"/>
        <v>#DIV/0!</v>
      </c>
      <c r="AA14" s="33" t="e">
        <f t="shared" si="4"/>
        <v>#DIV/0!</v>
      </c>
      <c r="AB14" s="33" t="e">
        <f t="shared" si="5"/>
        <v>#DIV/0!</v>
      </c>
      <c r="AC14" s="33"/>
      <c r="AD14" s="33"/>
      <c r="AE14" s="33" t="e">
        <f>#REF!</f>
        <v>#REF!</v>
      </c>
      <c r="AF14" s="33">
        <f t="shared" si="6"/>
        <v>0</v>
      </c>
      <c r="AG14" s="33">
        <f t="shared" si="7"/>
        <v>0</v>
      </c>
      <c r="AH14" s="33">
        <f t="shared" si="8"/>
        <v>0</v>
      </c>
    </row>
    <row r="15" ht="12" hidden="1" customHeight="1" spans="1:34">
      <c r="A15" s="31" t="s">
        <v>86</v>
      </c>
      <c r="B15" s="32"/>
      <c r="C15" s="32"/>
      <c r="D15" s="32"/>
      <c r="E15" s="33"/>
      <c r="F15" s="33"/>
      <c r="G15" s="33" t="e">
        <f t="shared" si="0"/>
        <v>#DIV/0!</v>
      </c>
      <c r="H15" s="33"/>
      <c r="I15" s="33"/>
      <c r="J15" s="33"/>
      <c r="K15" s="33" t="e">
        <f t="shared" si="1"/>
        <v>#DIV/0!</v>
      </c>
      <c r="L15" s="33"/>
      <c r="M15" s="33"/>
      <c r="N15" s="33"/>
      <c r="O15" s="33" t="e">
        <f t="shared" si="2"/>
        <v>#DIV/0!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 t="e">
        <f t="shared" si="3"/>
        <v>#DIV/0!</v>
      </c>
      <c r="AA15" s="33" t="e">
        <f t="shared" si="4"/>
        <v>#DIV/0!</v>
      </c>
      <c r="AB15" s="33" t="e">
        <f t="shared" si="5"/>
        <v>#DIV/0!</v>
      </c>
      <c r="AC15" s="33"/>
      <c r="AD15" s="33"/>
      <c r="AE15" s="33" t="e">
        <f>#REF!</f>
        <v>#REF!</v>
      </c>
      <c r="AF15" s="33">
        <f t="shared" si="6"/>
        <v>0</v>
      </c>
      <c r="AG15" s="33">
        <f t="shared" si="7"/>
        <v>0</v>
      </c>
      <c r="AH15" s="33">
        <f t="shared" si="8"/>
        <v>0</v>
      </c>
    </row>
    <row r="16" ht="12" hidden="1" customHeight="1" spans="1:34">
      <c r="A16" s="31" t="s">
        <v>87</v>
      </c>
      <c r="B16" s="32"/>
      <c r="C16" s="32"/>
      <c r="D16" s="32"/>
      <c r="E16" s="33"/>
      <c r="F16" s="33"/>
      <c r="G16" s="33" t="e">
        <f t="shared" si="0"/>
        <v>#DIV/0!</v>
      </c>
      <c r="H16" s="33"/>
      <c r="I16" s="33"/>
      <c r="J16" s="33"/>
      <c r="K16" s="33" t="e">
        <f t="shared" si="1"/>
        <v>#DIV/0!</v>
      </c>
      <c r="L16" s="33"/>
      <c r="M16" s="33"/>
      <c r="N16" s="33"/>
      <c r="O16" s="33" t="e">
        <f t="shared" si="2"/>
        <v>#DIV/0!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 t="e">
        <f t="shared" si="3"/>
        <v>#DIV/0!</v>
      </c>
      <c r="AA16" s="33" t="e">
        <f t="shared" si="4"/>
        <v>#DIV/0!</v>
      </c>
      <c r="AB16" s="33" t="e">
        <f t="shared" si="5"/>
        <v>#DIV/0!</v>
      </c>
      <c r="AC16" s="33"/>
      <c r="AD16" s="33"/>
      <c r="AE16" s="33" t="e">
        <f>#REF!</f>
        <v>#REF!</v>
      </c>
      <c r="AF16" s="33">
        <f t="shared" si="6"/>
        <v>0</v>
      </c>
      <c r="AG16" s="33">
        <f t="shared" si="7"/>
        <v>0</v>
      </c>
      <c r="AH16" s="33">
        <f t="shared" si="8"/>
        <v>0</v>
      </c>
    </row>
    <row r="17" ht="12" hidden="1" customHeight="1" spans="1:34">
      <c r="A17" s="31" t="s">
        <v>88</v>
      </c>
      <c r="B17" s="32"/>
      <c r="C17" s="32"/>
      <c r="D17" s="32"/>
      <c r="E17" s="33"/>
      <c r="F17" s="33"/>
      <c r="G17" s="33" t="e">
        <f t="shared" si="0"/>
        <v>#DIV/0!</v>
      </c>
      <c r="H17" s="33"/>
      <c r="I17" s="33"/>
      <c r="J17" s="33"/>
      <c r="K17" s="33" t="e">
        <f t="shared" si="1"/>
        <v>#DIV/0!</v>
      </c>
      <c r="L17" s="33"/>
      <c r="M17" s="33"/>
      <c r="N17" s="33"/>
      <c r="O17" s="33" t="e">
        <f t="shared" si="2"/>
        <v>#DIV/0!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 t="e">
        <f t="shared" si="3"/>
        <v>#DIV/0!</v>
      </c>
      <c r="AA17" s="33" t="e">
        <f t="shared" si="4"/>
        <v>#DIV/0!</v>
      </c>
      <c r="AB17" s="33" t="e">
        <f t="shared" si="5"/>
        <v>#DIV/0!</v>
      </c>
      <c r="AC17" s="33"/>
      <c r="AD17" s="33"/>
      <c r="AE17" s="33" t="e">
        <f>#REF!</f>
        <v>#REF!</v>
      </c>
      <c r="AF17" s="33">
        <f t="shared" si="6"/>
        <v>0</v>
      </c>
      <c r="AG17" s="33">
        <f t="shared" si="7"/>
        <v>0</v>
      </c>
      <c r="AH17" s="33">
        <f t="shared" si="8"/>
        <v>0</v>
      </c>
    </row>
    <row r="18" ht="12" hidden="1" customHeight="1" spans="1:34">
      <c r="A18" s="31" t="s">
        <v>89</v>
      </c>
      <c r="B18" s="32"/>
      <c r="C18" s="32"/>
      <c r="D18" s="32"/>
      <c r="E18" s="33"/>
      <c r="F18" s="33"/>
      <c r="G18" s="33" t="e">
        <f t="shared" si="0"/>
        <v>#DIV/0!</v>
      </c>
      <c r="H18" s="33"/>
      <c r="I18" s="33"/>
      <c r="J18" s="33"/>
      <c r="K18" s="33" t="e">
        <f t="shared" si="1"/>
        <v>#DIV/0!</v>
      </c>
      <c r="L18" s="33"/>
      <c r="M18" s="33"/>
      <c r="N18" s="33"/>
      <c r="O18" s="33" t="e">
        <f t="shared" si="2"/>
        <v>#DIV/0!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 t="e">
        <f t="shared" si="3"/>
        <v>#DIV/0!</v>
      </c>
      <c r="AA18" s="33" t="e">
        <f t="shared" si="4"/>
        <v>#DIV/0!</v>
      </c>
      <c r="AB18" s="33" t="e">
        <f t="shared" si="5"/>
        <v>#DIV/0!</v>
      </c>
      <c r="AC18" s="33"/>
      <c r="AD18" s="33"/>
      <c r="AE18" s="33" t="e">
        <f>#REF!</f>
        <v>#REF!</v>
      </c>
      <c r="AF18" s="33">
        <f t="shared" si="6"/>
        <v>0</v>
      </c>
      <c r="AG18" s="33">
        <f t="shared" si="7"/>
        <v>0</v>
      </c>
      <c r="AH18" s="33">
        <f t="shared" si="8"/>
        <v>0</v>
      </c>
    </row>
    <row r="19" ht="12" hidden="1" customHeight="1" spans="1:34">
      <c r="A19" s="31" t="s">
        <v>90</v>
      </c>
      <c r="B19" s="32"/>
      <c r="C19" s="32"/>
      <c r="D19" s="32"/>
      <c r="E19" s="33"/>
      <c r="F19" s="33"/>
      <c r="G19" s="33" t="e">
        <f t="shared" si="0"/>
        <v>#DIV/0!</v>
      </c>
      <c r="H19" s="33"/>
      <c r="I19" s="33"/>
      <c r="J19" s="33"/>
      <c r="K19" s="33" t="e">
        <f t="shared" si="1"/>
        <v>#DIV/0!</v>
      </c>
      <c r="L19" s="33"/>
      <c r="M19" s="33"/>
      <c r="N19" s="33"/>
      <c r="O19" s="33" t="e">
        <f t="shared" si="2"/>
        <v>#DIV/0!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 t="e">
        <f t="shared" si="3"/>
        <v>#DIV/0!</v>
      </c>
      <c r="AA19" s="33" t="e">
        <f t="shared" si="4"/>
        <v>#DIV/0!</v>
      </c>
      <c r="AB19" s="33" t="e">
        <f t="shared" si="5"/>
        <v>#DIV/0!</v>
      </c>
      <c r="AC19" s="33"/>
      <c r="AD19" s="33"/>
      <c r="AE19" s="33" t="e">
        <f>#REF!</f>
        <v>#REF!</v>
      </c>
      <c r="AF19" s="33">
        <f t="shared" si="6"/>
        <v>0</v>
      </c>
      <c r="AG19" s="33">
        <f t="shared" si="7"/>
        <v>0</v>
      </c>
      <c r="AH19" s="33">
        <f t="shared" si="8"/>
        <v>0</v>
      </c>
    </row>
    <row r="20" ht="12" hidden="1" customHeight="1" spans="1:34">
      <c r="A20" s="31" t="s">
        <v>91</v>
      </c>
      <c r="B20" s="32"/>
      <c r="C20" s="32"/>
      <c r="D20" s="32"/>
      <c r="E20" s="33"/>
      <c r="F20" s="33"/>
      <c r="G20" s="33" t="e">
        <f t="shared" si="0"/>
        <v>#DIV/0!</v>
      </c>
      <c r="H20" s="33"/>
      <c r="I20" s="33"/>
      <c r="J20" s="33"/>
      <c r="K20" s="33" t="e">
        <f t="shared" si="1"/>
        <v>#DIV/0!</v>
      </c>
      <c r="L20" s="33"/>
      <c r="M20" s="33"/>
      <c r="N20" s="33"/>
      <c r="O20" s="33" t="e">
        <f t="shared" si="2"/>
        <v>#DIV/0!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 t="e">
        <f t="shared" si="3"/>
        <v>#DIV/0!</v>
      </c>
      <c r="AA20" s="33" t="e">
        <f t="shared" si="4"/>
        <v>#DIV/0!</v>
      </c>
      <c r="AB20" s="33" t="e">
        <f t="shared" si="5"/>
        <v>#DIV/0!</v>
      </c>
      <c r="AC20" s="33"/>
      <c r="AD20" s="33"/>
      <c r="AE20" s="33" t="e">
        <f>#REF!</f>
        <v>#REF!</v>
      </c>
      <c r="AF20" s="33">
        <f t="shared" si="6"/>
        <v>0</v>
      </c>
      <c r="AG20" s="33">
        <f t="shared" si="7"/>
        <v>0</v>
      </c>
      <c r="AH20" s="33">
        <f t="shared" si="8"/>
        <v>0</v>
      </c>
    </row>
    <row r="21" ht="12" hidden="1" customHeight="1" spans="1:34">
      <c r="A21" s="31" t="s">
        <v>92</v>
      </c>
      <c r="B21" s="32"/>
      <c r="C21" s="32"/>
      <c r="D21" s="32"/>
      <c r="E21" s="33"/>
      <c r="F21" s="33"/>
      <c r="G21" s="33" t="e">
        <f t="shared" si="0"/>
        <v>#DIV/0!</v>
      </c>
      <c r="H21" s="33"/>
      <c r="I21" s="33"/>
      <c r="J21" s="33"/>
      <c r="K21" s="33" t="e">
        <f t="shared" si="1"/>
        <v>#DIV/0!</v>
      </c>
      <c r="L21" s="33"/>
      <c r="M21" s="33"/>
      <c r="N21" s="33"/>
      <c r="O21" s="33" t="e">
        <f t="shared" si="2"/>
        <v>#DIV/0!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 t="e">
        <f t="shared" si="3"/>
        <v>#DIV/0!</v>
      </c>
      <c r="AA21" s="33" t="e">
        <f t="shared" si="4"/>
        <v>#DIV/0!</v>
      </c>
      <c r="AB21" s="33" t="e">
        <f t="shared" si="5"/>
        <v>#DIV/0!</v>
      </c>
      <c r="AC21" s="33"/>
      <c r="AD21" s="33"/>
      <c r="AE21" s="33" t="e">
        <f>#REF!</f>
        <v>#REF!</v>
      </c>
      <c r="AF21" s="33">
        <f t="shared" si="6"/>
        <v>0</v>
      </c>
      <c r="AG21" s="33">
        <f t="shared" si="7"/>
        <v>0</v>
      </c>
      <c r="AH21" s="33">
        <f t="shared" si="8"/>
        <v>0</v>
      </c>
    </row>
    <row r="22" ht="12" hidden="1" customHeight="1" spans="1:34">
      <c r="A22" s="31" t="s">
        <v>93</v>
      </c>
      <c r="B22" s="32"/>
      <c r="C22" s="32"/>
      <c r="D22" s="32"/>
      <c r="E22" s="33"/>
      <c r="F22" s="33"/>
      <c r="G22" s="33" t="e">
        <f t="shared" si="0"/>
        <v>#DIV/0!</v>
      </c>
      <c r="H22" s="33"/>
      <c r="I22" s="33"/>
      <c r="J22" s="33"/>
      <c r="K22" s="33" t="e">
        <f t="shared" si="1"/>
        <v>#DIV/0!</v>
      </c>
      <c r="L22" s="33"/>
      <c r="M22" s="33"/>
      <c r="N22" s="33"/>
      <c r="O22" s="33" t="e">
        <f t="shared" si="2"/>
        <v>#DIV/0!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 t="e">
        <f t="shared" si="3"/>
        <v>#DIV/0!</v>
      </c>
      <c r="AA22" s="33" t="e">
        <f t="shared" si="4"/>
        <v>#DIV/0!</v>
      </c>
      <c r="AB22" s="33" t="e">
        <f t="shared" si="5"/>
        <v>#DIV/0!</v>
      </c>
      <c r="AC22" s="33"/>
      <c r="AD22" s="33"/>
      <c r="AE22" s="33" t="e">
        <f>#REF!</f>
        <v>#REF!</v>
      </c>
      <c r="AF22" s="33">
        <f t="shared" si="6"/>
        <v>0</v>
      </c>
      <c r="AG22" s="33">
        <f t="shared" si="7"/>
        <v>0</v>
      </c>
      <c r="AH22" s="33">
        <f t="shared" si="8"/>
        <v>0</v>
      </c>
    </row>
    <row r="23" ht="12" hidden="1" customHeight="1" spans="1:34">
      <c r="A23" s="31" t="s">
        <v>94</v>
      </c>
      <c r="B23" s="32"/>
      <c r="C23" s="32"/>
      <c r="D23" s="32"/>
      <c r="E23" s="33"/>
      <c r="F23" s="33"/>
      <c r="G23" s="33" t="e">
        <f t="shared" si="0"/>
        <v>#DIV/0!</v>
      </c>
      <c r="H23" s="33"/>
      <c r="I23" s="33"/>
      <c r="J23" s="33"/>
      <c r="K23" s="33" t="e">
        <f t="shared" si="1"/>
        <v>#DIV/0!</v>
      </c>
      <c r="L23" s="33"/>
      <c r="M23" s="33"/>
      <c r="N23" s="33"/>
      <c r="O23" s="33" t="e">
        <f t="shared" si="2"/>
        <v>#DIV/0!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 t="e">
        <f t="shared" si="3"/>
        <v>#DIV/0!</v>
      </c>
      <c r="AA23" s="33" t="e">
        <f t="shared" si="4"/>
        <v>#DIV/0!</v>
      </c>
      <c r="AB23" s="33" t="e">
        <f t="shared" si="5"/>
        <v>#DIV/0!</v>
      </c>
      <c r="AC23" s="33"/>
      <c r="AD23" s="33"/>
      <c r="AE23" s="33" t="e">
        <f>#REF!</f>
        <v>#REF!</v>
      </c>
      <c r="AF23" s="33">
        <f t="shared" si="6"/>
        <v>0</v>
      </c>
      <c r="AG23" s="33">
        <f t="shared" si="7"/>
        <v>0</v>
      </c>
      <c r="AH23" s="33">
        <f t="shared" si="8"/>
        <v>0</v>
      </c>
    </row>
    <row r="24" ht="12" hidden="1" customHeight="1" spans="1:34">
      <c r="A24" s="31" t="s">
        <v>95</v>
      </c>
      <c r="B24" s="32"/>
      <c r="C24" s="32"/>
      <c r="D24" s="32"/>
      <c r="E24" s="33"/>
      <c r="F24" s="33"/>
      <c r="G24" s="33" t="e">
        <f t="shared" si="0"/>
        <v>#DIV/0!</v>
      </c>
      <c r="H24" s="33"/>
      <c r="I24" s="33"/>
      <c r="J24" s="33"/>
      <c r="K24" s="33" t="e">
        <f t="shared" si="1"/>
        <v>#DIV/0!</v>
      </c>
      <c r="L24" s="33"/>
      <c r="M24" s="33"/>
      <c r="N24" s="33"/>
      <c r="O24" s="33" t="e">
        <f t="shared" si="2"/>
        <v>#DIV/0!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 t="e">
        <f t="shared" si="3"/>
        <v>#DIV/0!</v>
      </c>
      <c r="AA24" s="33" t="e">
        <f t="shared" si="4"/>
        <v>#DIV/0!</v>
      </c>
      <c r="AB24" s="33" t="e">
        <f t="shared" si="5"/>
        <v>#DIV/0!</v>
      </c>
      <c r="AC24" s="33"/>
      <c r="AD24" s="33"/>
      <c r="AE24" s="33" t="e">
        <f>#REF!</f>
        <v>#REF!</v>
      </c>
      <c r="AF24" s="33">
        <f t="shared" si="6"/>
        <v>0</v>
      </c>
      <c r="AG24" s="33">
        <f t="shared" si="7"/>
        <v>0</v>
      </c>
      <c r="AH24" s="33">
        <f t="shared" si="8"/>
        <v>0</v>
      </c>
    </row>
    <row r="25" ht="12" hidden="1" customHeight="1" spans="1:34">
      <c r="A25" s="31" t="s">
        <v>96</v>
      </c>
      <c r="B25" s="32"/>
      <c r="C25" s="32"/>
      <c r="D25" s="32"/>
      <c r="E25" s="33"/>
      <c r="F25" s="33"/>
      <c r="G25" s="33" t="e">
        <f t="shared" si="0"/>
        <v>#DIV/0!</v>
      </c>
      <c r="H25" s="33"/>
      <c r="I25" s="33"/>
      <c r="J25" s="33"/>
      <c r="K25" s="33" t="e">
        <f t="shared" si="1"/>
        <v>#DIV/0!</v>
      </c>
      <c r="L25" s="33"/>
      <c r="M25" s="33"/>
      <c r="N25" s="33"/>
      <c r="O25" s="33" t="e">
        <f t="shared" si="2"/>
        <v>#DIV/0!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 t="e">
        <f t="shared" si="3"/>
        <v>#DIV/0!</v>
      </c>
      <c r="AA25" s="33" t="e">
        <f t="shared" si="4"/>
        <v>#DIV/0!</v>
      </c>
      <c r="AB25" s="33" t="e">
        <f t="shared" si="5"/>
        <v>#DIV/0!</v>
      </c>
      <c r="AC25" s="33"/>
      <c r="AD25" s="33"/>
      <c r="AE25" s="33" t="e">
        <f>#REF!</f>
        <v>#REF!</v>
      </c>
      <c r="AF25" s="33">
        <f t="shared" si="6"/>
        <v>0</v>
      </c>
      <c r="AG25" s="33">
        <f t="shared" si="7"/>
        <v>0</v>
      </c>
      <c r="AH25" s="33">
        <f t="shared" si="8"/>
        <v>0</v>
      </c>
    </row>
    <row r="26" ht="12" hidden="1" customHeight="1" spans="1:34">
      <c r="A26" s="31" t="s">
        <v>97</v>
      </c>
      <c r="B26" s="32"/>
      <c r="C26" s="32"/>
      <c r="D26" s="32"/>
      <c r="E26" s="33"/>
      <c r="F26" s="33"/>
      <c r="G26" s="33" t="e">
        <f t="shared" si="0"/>
        <v>#DIV/0!</v>
      </c>
      <c r="H26" s="33"/>
      <c r="I26" s="33"/>
      <c r="J26" s="33"/>
      <c r="K26" s="33" t="e">
        <f t="shared" si="1"/>
        <v>#DIV/0!</v>
      </c>
      <c r="L26" s="33"/>
      <c r="M26" s="33"/>
      <c r="N26" s="33"/>
      <c r="O26" s="33" t="e">
        <f t="shared" si="2"/>
        <v>#DIV/0!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 t="e">
        <f t="shared" si="3"/>
        <v>#DIV/0!</v>
      </c>
      <c r="AA26" s="33" t="e">
        <f t="shared" si="4"/>
        <v>#DIV/0!</v>
      </c>
      <c r="AB26" s="33" t="e">
        <f t="shared" si="5"/>
        <v>#DIV/0!</v>
      </c>
      <c r="AC26" s="33"/>
      <c r="AD26" s="33"/>
      <c r="AE26" s="33" t="e">
        <f>#REF!</f>
        <v>#REF!</v>
      </c>
      <c r="AF26" s="33">
        <f t="shared" si="6"/>
        <v>0</v>
      </c>
      <c r="AG26" s="33">
        <f t="shared" si="7"/>
        <v>0</v>
      </c>
      <c r="AH26" s="33">
        <f t="shared" si="8"/>
        <v>0</v>
      </c>
    </row>
    <row r="27" ht="12" hidden="1" customHeight="1" spans="1:34">
      <c r="A27" s="31" t="s">
        <v>98</v>
      </c>
      <c r="B27" s="32"/>
      <c r="C27" s="32"/>
      <c r="D27" s="32"/>
      <c r="E27" s="33"/>
      <c r="F27" s="33"/>
      <c r="G27" s="33" t="e">
        <f t="shared" si="0"/>
        <v>#DIV/0!</v>
      </c>
      <c r="H27" s="33"/>
      <c r="I27" s="33"/>
      <c r="J27" s="33"/>
      <c r="K27" s="33" t="e">
        <f t="shared" si="1"/>
        <v>#DIV/0!</v>
      </c>
      <c r="L27" s="33"/>
      <c r="M27" s="33"/>
      <c r="N27" s="33"/>
      <c r="O27" s="33" t="e">
        <f t="shared" si="2"/>
        <v>#DIV/0!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 t="e">
        <f t="shared" si="3"/>
        <v>#DIV/0!</v>
      </c>
      <c r="AA27" s="33" t="e">
        <f t="shared" si="4"/>
        <v>#DIV/0!</v>
      </c>
      <c r="AB27" s="33" t="e">
        <f t="shared" si="5"/>
        <v>#DIV/0!</v>
      </c>
      <c r="AC27" s="33"/>
      <c r="AD27" s="33"/>
      <c r="AE27" s="33" t="e">
        <f>#REF!</f>
        <v>#REF!</v>
      </c>
      <c r="AF27" s="33">
        <f t="shared" si="6"/>
        <v>0</v>
      </c>
      <c r="AG27" s="33">
        <f t="shared" si="7"/>
        <v>0</v>
      </c>
      <c r="AH27" s="33">
        <f t="shared" si="8"/>
        <v>0</v>
      </c>
    </row>
    <row r="28" ht="12" hidden="1" customHeight="1" spans="1:34">
      <c r="A28" s="31" t="s">
        <v>99</v>
      </c>
      <c r="B28" s="32"/>
      <c r="C28" s="32"/>
      <c r="D28" s="32"/>
      <c r="E28" s="33"/>
      <c r="F28" s="33"/>
      <c r="G28" s="33" t="e">
        <f t="shared" si="0"/>
        <v>#DIV/0!</v>
      </c>
      <c r="H28" s="33"/>
      <c r="I28" s="33"/>
      <c r="J28" s="33"/>
      <c r="K28" s="33" t="e">
        <f t="shared" si="1"/>
        <v>#DIV/0!</v>
      </c>
      <c r="L28" s="33"/>
      <c r="M28" s="33"/>
      <c r="N28" s="33"/>
      <c r="O28" s="33" t="e">
        <f t="shared" si="2"/>
        <v>#DIV/0!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 t="e">
        <f t="shared" si="3"/>
        <v>#DIV/0!</v>
      </c>
      <c r="AA28" s="33" t="e">
        <f t="shared" si="4"/>
        <v>#DIV/0!</v>
      </c>
      <c r="AB28" s="33" t="e">
        <f t="shared" si="5"/>
        <v>#DIV/0!</v>
      </c>
      <c r="AC28" s="33"/>
      <c r="AD28" s="33"/>
      <c r="AE28" s="33" t="e">
        <f>#REF!</f>
        <v>#REF!</v>
      </c>
      <c r="AF28" s="33">
        <f t="shared" si="6"/>
        <v>0</v>
      </c>
      <c r="AG28" s="33">
        <f t="shared" si="7"/>
        <v>0</v>
      </c>
      <c r="AH28" s="33">
        <f t="shared" si="8"/>
        <v>0</v>
      </c>
    </row>
    <row r="29" ht="12" hidden="1" customHeight="1" spans="1:34">
      <c r="A29" s="31" t="s">
        <v>100</v>
      </c>
      <c r="B29" s="32"/>
      <c r="C29" s="32"/>
      <c r="D29" s="32"/>
      <c r="E29" s="33"/>
      <c r="F29" s="33"/>
      <c r="G29" s="33" t="e">
        <f t="shared" si="0"/>
        <v>#DIV/0!</v>
      </c>
      <c r="H29" s="33"/>
      <c r="I29" s="33"/>
      <c r="J29" s="33"/>
      <c r="K29" s="33" t="e">
        <f t="shared" si="1"/>
        <v>#DIV/0!</v>
      </c>
      <c r="L29" s="33"/>
      <c r="M29" s="33"/>
      <c r="N29" s="33"/>
      <c r="O29" s="33" t="e">
        <f t="shared" si="2"/>
        <v>#DIV/0!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 t="e">
        <f t="shared" si="3"/>
        <v>#DIV/0!</v>
      </c>
      <c r="AA29" s="33" t="e">
        <f t="shared" si="4"/>
        <v>#DIV/0!</v>
      </c>
      <c r="AB29" s="33" t="e">
        <f t="shared" si="5"/>
        <v>#DIV/0!</v>
      </c>
      <c r="AC29" s="33"/>
      <c r="AD29" s="33"/>
      <c r="AE29" s="33" t="e">
        <f>#REF!</f>
        <v>#REF!</v>
      </c>
      <c r="AF29" s="33">
        <f t="shared" si="6"/>
        <v>0</v>
      </c>
      <c r="AG29" s="33">
        <f t="shared" si="7"/>
        <v>0</v>
      </c>
      <c r="AH29" s="33">
        <f t="shared" si="8"/>
        <v>0</v>
      </c>
    </row>
    <row r="30" ht="12" hidden="1" customHeight="1" spans="1:34">
      <c r="A30" s="31" t="s">
        <v>101</v>
      </c>
      <c r="B30" s="32"/>
      <c r="C30" s="32"/>
      <c r="D30" s="32"/>
      <c r="E30" s="33"/>
      <c r="F30" s="33"/>
      <c r="G30" s="33" t="e">
        <f t="shared" si="0"/>
        <v>#DIV/0!</v>
      </c>
      <c r="H30" s="33"/>
      <c r="I30" s="33"/>
      <c r="J30" s="33"/>
      <c r="K30" s="33" t="e">
        <f t="shared" si="1"/>
        <v>#DIV/0!</v>
      </c>
      <c r="L30" s="33"/>
      <c r="M30" s="33"/>
      <c r="N30" s="33"/>
      <c r="O30" s="33" t="e">
        <f t="shared" si="2"/>
        <v>#DIV/0!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 t="e">
        <f t="shared" si="3"/>
        <v>#DIV/0!</v>
      </c>
      <c r="AA30" s="33" t="e">
        <f t="shared" si="4"/>
        <v>#DIV/0!</v>
      </c>
      <c r="AB30" s="33" t="e">
        <f t="shared" si="5"/>
        <v>#DIV/0!</v>
      </c>
      <c r="AC30" s="33"/>
      <c r="AD30" s="33"/>
      <c r="AE30" s="33" t="e">
        <f>#REF!</f>
        <v>#REF!</v>
      </c>
      <c r="AF30" s="33">
        <f t="shared" si="6"/>
        <v>0</v>
      </c>
      <c r="AG30" s="33">
        <f t="shared" si="7"/>
        <v>0</v>
      </c>
      <c r="AH30" s="33">
        <f t="shared" si="8"/>
        <v>0</v>
      </c>
    </row>
    <row r="31" ht="12" hidden="1" customHeight="1" spans="1:34">
      <c r="A31" s="31" t="s">
        <v>102</v>
      </c>
      <c r="B31" s="32"/>
      <c r="C31" s="32"/>
      <c r="D31" s="32"/>
      <c r="E31" s="33"/>
      <c r="F31" s="33"/>
      <c r="G31" s="33" t="e">
        <f t="shared" si="0"/>
        <v>#DIV/0!</v>
      </c>
      <c r="H31" s="33"/>
      <c r="I31" s="33"/>
      <c r="J31" s="33"/>
      <c r="K31" s="33" t="e">
        <f t="shared" si="1"/>
        <v>#DIV/0!</v>
      </c>
      <c r="L31" s="33"/>
      <c r="M31" s="33"/>
      <c r="N31" s="33"/>
      <c r="O31" s="33" t="e">
        <f t="shared" si="2"/>
        <v>#DIV/0!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 t="e">
        <f t="shared" si="3"/>
        <v>#DIV/0!</v>
      </c>
      <c r="AA31" s="33" t="e">
        <f t="shared" si="4"/>
        <v>#DIV/0!</v>
      </c>
      <c r="AB31" s="33" t="e">
        <f t="shared" si="5"/>
        <v>#DIV/0!</v>
      </c>
      <c r="AC31" s="33"/>
      <c r="AD31" s="33"/>
      <c r="AE31" s="33" t="e">
        <f>#REF!</f>
        <v>#REF!</v>
      </c>
      <c r="AF31" s="33">
        <f t="shared" si="6"/>
        <v>0</v>
      </c>
      <c r="AG31" s="33">
        <f t="shared" si="7"/>
        <v>0</v>
      </c>
      <c r="AH31" s="33">
        <f t="shared" si="8"/>
        <v>0</v>
      </c>
    </row>
    <row r="32" ht="12" hidden="1" customHeight="1" spans="1:34">
      <c r="A32" s="31" t="s">
        <v>103</v>
      </c>
      <c r="B32" s="32"/>
      <c r="C32" s="32"/>
      <c r="D32" s="32"/>
      <c r="E32" s="33"/>
      <c r="F32" s="33"/>
      <c r="G32" s="33" t="e">
        <f t="shared" si="0"/>
        <v>#DIV/0!</v>
      </c>
      <c r="H32" s="33"/>
      <c r="I32" s="33"/>
      <c r="J32" s="33"/>
      <c r="K32" s="33" t="e">
        <f t="shared" si="1"/>
        <v>#DIV/0!</v>
      </c>
      <c r="L32" s="33"/>
      <c r="M32" s="33"/>
      <c r="N32" s="33"/>
      <c r="O32" s="33" t="e">
        <f t="shared" si="2"/>
        <v>#DIV/0!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 t="e">
        <f t="shared" si="3"/>
        <v>#DIV/0!</v>
      </c>
      <c r="AA32" s="33" t="e">
        <f t="shared" si="4"/>
        <v>#DIV/0!</v>
      </c>
      <c r="AB32" s="33" t="e">
        <f t="shared" si="5"/>
        <v>#DIV/0!</v>
      </c>
      <c r="AC32" s="33"/>
      <c r="AD32" s="33"/>
      <c r="AE32" s="33" t="e">
        <f>#REF!</f>
        <v>#REF!</v>
      </c>
      <c r="AF32" s="33">
        <f t="shared" si="6"/>
        <v>0</v>
      </c>
      <c r="AG32" s="33">
        <f t="shared" si="7"/>
        <v>0</v>
      </c>
      <c r="AH32" s="33">
        <f t="shared" si="8"/>
        <v>0</v>
      </c>
    </row>
    <row r="33" ht="12" hidden="1" customHeight="1" spans="1:34">
      <c r="A33" s="31" t="s">
        <v>104</v>
      </c>
      <c r="B33" s="32"/>
      <c r="C33" s="32"/>
      <c r="D33" s="32"/>
      <c r="E33" s="33"/>
      <c r="F33" s="33"/>
      <c r="G33" s="33" t="e">
        <f t="shared" si="0"/>
        <v>#DIV/0!</v>
      </c>
      <c r="H33" s="33"/>
      <c r="I33" s="33"/>
      <c r="J33" s="33"/>
      <c r="K33" s="33" t="e">
        <f t="shared" si="1"/>
        <v>#DIV/0!</v>
      </c>
      <c r="L33" s="33"/>
      <c r="M33" s="33"/>
      <c r="N33" s="33"/>
      <c r="O33" s="33" t="e">
        <f t="shared" si="2"/>
        <v>#DIV/0!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 t="e">
        <f t="shared" si="3"/>
        <v>#DIV/0!</v>
      </c>
      <c r="AA33" s="33" t="e">
        <f t="shared" si="4"/>
        <v>#DIV/0!</v>
      </c>
      <c r="AB33" s="33" t="e">
        <f t="shared" si="5"/>
        <v>#DIV/0!</v>
      </c>
      <c r="AC33" s="33"/>
      <c r="AD33" s="33"/>
      <c r="AE33" s="33" t="e">
        <f>#REF!</f>
        <v>#REF!</v>
      </c>
      <c r="AF33" s="33">
        <f t="shared" si="6"/>
        <v>0</v>
      </c>
      <c r="AG33" s="33">
        <f t="shared" si="7"/>
        <v>0</v>
      </c>
      <c r="AH33" s="33">
        <f t="shared" si="8"/>
        <v>0</v>
      </c>
    </row>
    <row r="34" ht="12" hidden="1" customHeight="1" spans="1:34">
      <c r="A34" s="31" t="s">
        <v>105</v>
      </c>
      <c r="B34" s="32"/>
      <c r="C34" s="32"/>
      <c r="D34" s="32"/>
      <c r="E34" s="33"/>
      <c r="F34" s="33"/>
      <c r="G34" s="33" t="e">
        <f t="shared" si="0"/>
        <v>#DIV/0!</v>
      </c>
      <c r="H34" s="33"/>
      <c r="I34" s="33"/>
      <c r="J34" s="33"/>
      <c r="K34" s="33" t="e">
        <f t="shared" si="1"/>
        <v>#DIV/0!</v>
      </c>
      <c r="L34" s="33"/>
      <c r="M34" s="33"/>
      <c r="N34" s="33"/>
      <c r="O34" s="33" t="e">
        <f t="shared" si="2"/>
        <v>#DIV/0!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 t="e">
        <f t="shared" si="3"/>
        <v>#DIV/0!</v>
      </c>
      <c r="AA34" s="33" t="e">
        <f t="shared" si="4"/>
        <v>#DIV/0!</v>
      </c>
      <c r="AB34" s="33" t="e">
        <f t="shared" si="5"/>
        <v>#DIV/0!</v>
      </c>
      <c r="AC34" s="33"/>
      <c r="AD34" s="33"/>
      <c r="AE34" s="33" t="e">
        <f>#REF!</f>
        <v>#REF!</v>
      </c>
      <c r="AF34" s="33">
        <f t="shared" si="6"/>
        <v>0</v>
      </c>
      <c r="AG34" s="33">
        <f t="shared" si="7"/>
        <v>0</v>
      </c>
      <c r="AH34" s="33">
        <f t="shared" si="8"/>
        <v>0</v>
      </c>
    </row>
    <row r="35" ht="12" hidden="1" customHeight="1" spans="1:34">
      <c r="A35" s="31" t="s">
        <v>106</v>
      </c>
      <c r="B35" s="32"/>
      <c r="C35" s="32"/>
      <c r="D35" s="32"/>
      <c r="E35" s="33"/>
      <c r="F35" s="33"/>
      <c r="G35" s="33" t="e">
        <f t="shared" si="0"/>
        <v>#DIV/0!</v>
      </c>
      <c r="H35" s="33"/>
      <c r="I35" s="33"/>
      <c r="J35" s="33"/>
      <c r="K35" s="33" t="e">
        <f t="shared" si="1"/>
        <v>#DIV/0!</v>
      </c>
      <c r="L35" s="33"/>
      <c r="M35" s="33"/>
      <c r="N35" s="33"/>
      <c r="O35" s="33" t="e">
        <f t="shared" si="2"/>
        <v>#DIV/0!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 t="e">
        <f t="shared" si="3"/>
        <v>#DIV/0!</v>
      </c>
      <c r="AA35" s="33" t="e">
        <f t="shared" si="4"/>
        <v>#DIV/0!</v>
      </c>
      <c r="AB35" s="33" t="e">
        <f t="shared" si="5"/>
        <v>#DIV/0!</v>
      </c>
      <c r="AC35" s="33"/>
      <c r="AD35" s="33"/>
      <c r="AE35" s="33" t="e">
        <f>#REF!</f>
        <v>#REF!</v>
      </c>
      <c r="AF35" s="33">
        <f t="shared" si="6"/>
        <v>0</v>
      </c>
      <c r="AG35" s="33">
        <f t="shared" si="7"/>
        <v>0</v>
      </c>
      <c r="AH35" s="33">
        <f t="shared" si="8"/>
        <v>0</v>
      </c>
    </row>
    <row r="36" ht="12" hidden="1" customHeight="1" spans="1:34">
      <c r="A36" s="31" t="s">
        <v>107</v>
      </c>
      <c r="B36" s="32"/>
      <c r="C36" s="32"/>
      <c r="D36" s="32"/>
      <c r="E36" s="33"/>
      <c r="F36" s="33"/>
      <c r="G36" s="33" t="e">
        <f t="shared" si="0"/>
        <v>#DIV/0!</v>
      </c>
      <c r="H36" s="33"/>
      <c r="I36" s="33"/>
      <c r="J36" s="33"/>
      <c r="K36" s="33" t="e">
        <f t="shared" si="1"/>
        <v>#DIV/0!</v>
      </c>
      <c r="L36" s="33"/>
      <c r="M36" s="33"/>
      <c r="N36" s="33"/>
      <c r="O36" s="33" t="e">
        <f t="shared" si="2"/>
        <v>#DIV/0!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 t="e">
        <f t="shared" si="3"/>
        <v>#DIV/0!</v>
      </c>
      <c r="AA36" s="33" t="e">
        <f t="shared" si="4"/>
        <v>#DIV/0!</v>
      </c>
      <c r="AB36" s="33" t="e">
        <f t="shared" si="5"/>
        <v>#DIV/0!</v>
      </c>
      <c r="AC36" s="33"/>
      <c r="AD36" s="33"/>
      <c r="AE36" s="33" t="e">
        <f>#REF!</f>
        <v>#REF!</v>
      </c>
      <c r="AF36" s="33">
        <f t="shared" si="6"/>
        <v>0</v>
      </c>
      <c r="AG36" s="33">
        <f t="shared" si="7"/>
        <v>0</v>
      </c>
      <c r="AH36" s="33">
        <f t="shared" si="8"/>
        <v>0</v>
      </c>
    </row>
    <row r="37" hidden="1" customHeight="1" spans="1:34">
      <c r="A37" s="31" t="s">
        <v>108</v>
      </c>
      <c r="B37" s="32"/>
      <c r="C37" s="32"/>
      <c r="D37" s="32"/>
      <c r="E37" s="33"/>
      <c r="F37" s="33"/>
      <c r="G37" s="33" t="e">
        <f t="shared" si="0"/>
        <v>#DIV/0!</v>
      </c>
      <c r="H37" s="33"/>
      <c r="I37" s="33"/>
      <c r="J37" s="33"/>
      <c r="K37" s="33" t="e">
        <f t="shared" si="1"/>
        <v>#DIV/0!</v>
      </c>
      <c r="L37" s="33"/>
      <c r="M37" s="33"/>
      <c r="N37" s="33"/>
      <c r="O37" s="33" t="e">
        <f t="shared" si="2"/>
        <v>#DIV/0!</v>
      </c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 t="e">
        <f t="shared" si="3"/>
        <v>#DIV/0!</v>
      </c>
      <c r="AA37" s="33" t="e">
        <f t="shared" si="4"/>
        <v>#DIV/0!</v>
      </c>
      <c r="AB37" s="33" t="e">
        <f t="shared" si="5"/>
        <v>#DIV/0!</v>
      </c>
      <c r="AC37" s="33"/>
      <c r="AD37" s="33"/>
      <c r="AE37" s="33" t="e">
        <f>#REF!</f>
        <v>#REF!</v>
      </c>
      <c r="AF37" s="33">
        <f t="shared" si="6"/>
        <v>0</v>
      </c>
      <c r="AG37" s="33">
        <f t="shared" si="7"/>
        <v>0</v>
      </c>
      <c r="AH37" s="33">
        <f t="shared" si="8"/>
        <v>0</v>
      </c>
    </row>
    <row r="38" hidden="1" customHeight="1" spans="1:34">
      <c r="A38" s="31" t="s">
        <v>109</v>
      </c>
      <c r="B38" s="32"/>
      <c r="C38" s="32"/>
      <c r="D38" s="32"/>
      <c r="E38" s="33"/>
      <c r="F38" s="33"/>
      <c r="G38" s="33" t="e">
        <f t="shared" si="0"/>
        <v>#DIV/0!</v>
      </c>
      <c r="H38" s="33"/>
      <c r="I38" s="33"/>
      <c r="J38" s="33"/>
      <c r="K38" s="33" t="e">
        <f t="shared" si="1"/>
        <v>#DIV/0!</v>
      </c>
      <c r="L38" s="33"/>
      <c r="M38" s="33"/>
      <c r="N38" s="33"/>
      <c r="O38" s="33" t="e">
        <f t="shared" si="2"/>
        <v>#DIV/0!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 t="e">
        <f t="shared" si="3"/>
        <v>#DIV/0!</v>
      </c>
      <c r="AA38" s="33" t="e">
        <f t="shared" si="4"/>
        <v>#DIV/0!</v>
      </c>
      <c r="AB38" s="33" t="e">
        <f t="shared" si="5"/>
        <v>#DIV/0!</v>
      </c>
      <c r="AC38" s="33"/>
      <c r="AD38" s="33"/>
      <c r="AE38" s="33" t="e">
        <f>#REF!</f>
        <v>#REF!</v>
      </c>
      <c r="AF38" s="33">
        <f t="shared" si="6"/>
        <v>0</v>
      </c>
      <c r="AG38" s="33">
        <f t="shared" si="7"/>
        <v>0</v>
      </c>
      <c r="AH38" s="33">
        <f t="shared" si="8"/>
        <v>0</v>
      </c>
    </row>
    <row r="39" hidden="1" customHeight="1" spans="1:34">
      <c r="A39" s="31" t="s">
        <v>110</v>
      </c>
      <c r="B39" s="32"/>
      <c r="C39" s="32"/>
      <c r="D39" s="32"/>
      <c r="E39" s="33"/>
      <c r="F39" s="33"/>
      <c r="G39" s="33" t="e">
        <f t="shared" si="0"/>
        <v>#DIV/0!</v>
      </c>
      <c r="H39" s="33"/>
      <c r="I39" s="33"/>
      <c r="J39" s="33"/>
      <c r="K39" s="33" t="e">
        <f t="shared" si="1"/>
        <v>#DIV/0!</v>
      </c>
      <c r="L39" s="33"/>
      <c r="M39" s="33"/>
      <c r="N39" s="33"/>
      <c r="O39" s="33" t="e">
        <f t="shared" si="2"/>
        <v>#DIV/0!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 t="e">
        <f t="shared" si="3"/>
        <v>#DIV/0!</v>
      </c>
      <c r="AA39" s="33" t="e">
        <f t="shared" si="4"/>
        <v>#DIV/0!</v>
      </c>
      <c r="AB39" s="33" t="e">
        <f t="shared" si="5"/>
        <v>#DIV/0!</v>
      </c>
      <c r="AC39" s="33"/>
      <c r="AD39" s="33"/>
      <c r="AE39" s="33" t="e">
        <f>#REF!</f>
        <v>#REF!</v>
      </c>
      <c r="AF39" s="33">
        <f t="shared" si="6"/>
        <v>0</v>
      </c>
      <c r="AG39" s="33">
        <f t="shared" si="7"/>
        <v>0</v>
      </c>
      <c r="AH39" s="33">
        <f t="shared" si="8"/>
        <v>0</v>
      </c>
    </row>
    <row r="40" hidden="1" customHeight="1" spans="1:34">
      <c r="A40" s="31" t="s">
        <v>111</v>
      </c>
      <c r="B40" s="32"/>
      <c r="C40" s="32"/>
      <c r="D40" s="32"/>
      <c r="E40" s="33"/>
      <c r="F40" s="33"/>
      <c r="G40" s="33" t="e">
        <f t="shared" si="0"/>
        <v>#DIV/0!</v>
      </c>
      <c r="H40" s="33"/>
      <c r="I40" s="33"/>
      <c r="J40" s="33"/>
      <c r="K40" s="33" t="e">
        <f t="shared" si="1"/>
        <v>#DIV/0!</v>
      </c>
      <c r="L40" s="33"/>
      <c r="M40" s="33"/>
      <c r="N40" s="33"/>
      <c r="O40" s="33" t="e">
        <f t="shared" si="2"/>
        <v>#DIV/0!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 t="e">
        <f t="shared" si="3"/>
        <v>#DIV/0!</v>
      </c>
      <c r="AA40" s="33" t="e">
        <f t="shared" si="4"/>
        <v>#DIV/0!</v>
      </c>
      <c r="AB40" s="33" t="e">
        <f t="shared" si="5"/>
        <v>#DIV/0!</v>
      </c>
      <c r="AC40" s="33"/>
      <c r="AD40" s="33"/>
      <c r="AE40" s="33" t="e">
        <f>#REF!</f>
        <v>#REF!</v>
      </c>
      <c r="AF40" s="33">
        <f t="shared" si="6"/>
        <v>0</v>
      </c>
      <c r="AG40" s="33">
        <f t="shared" si="7"/>
        <v>0</v>
      </c>
      <c r="AH40" s="33">
        <f t="shared" si="8"/>
        <v>0</v>
      </c>
    </row>
    <row r="41" hidden="1" customHeight="1" spans="1:34">
      <c r="A41" s="31" t="s">
        <v>112</v>
      </c>
      <c r="B41" s="32"/>
      <c r="C41" s="32"/>
      <c r="D41" s="32"/>
      <c r="E41" s="33"/>
      <c r="F41" s="33"/>
      <c r="G41" s="33" t="e">
        <f t="shared" si="0"/>
        <v>#DIV/0!</v>
      </c>
      <c r="H41" s="33"/>
      <c r="I41" s="33"/>
      <c r="J41" s="33"/>
      <c r="K41" s="33" t="e">
        <f t="shared" si="1"/>
        <v>#DIV/0!</v>
      </c>
      <c r="L41" s="33"/>
      <c r="M41" s="33"/>
      <c r="N41" s="33"/>
      <c r="O41" s="33" t="e">
        <f t="shared" si="2"/>
        <v>#DIV/0!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 t="e">
        <f t="shared" si="3"/>
        <v>#DIV/0!</v>
      </c>
      <c r="AA41" s="33" t="e">
        <f t="shared" si="4"/>
        <v>#DIV/0!</v>
      </c>
      <c r="AB41" s="33" t="e">
        <f t="shared" si="5"/>
        <v>#DIV/0!</v>
      </c>
      <c r="AC41" s="33"/>
      <c r="AD41" s="33"/>
      <c r="AE41" s="33" t="e">
        <f>#REF!</f>
        <v>#REF!</v>
      </c>
      <c r="AF41" s="33">
        <f t="shared" si="6"/>
        <v>0</v>
      </c>
      <c r="AG41" s="33">
        <f t="shared" si="7"/>
        <v>0</v>
      </c>
      <c r="AH41" s="33">
        <f t="shared" si="8"/>
        <v>0</v>
      </c>
    </row>
    <row r="42" hidden="1" customHeight="1" spans="1:34">
      <c r="A42" s="31" t="s">
        <v>113</v>
      </c>
      <c r="B42" s="32"/>
      <c r="C42" s="32"/>
      <c r="D42" s="32"/>
      <c r="E42" s="33"/>
      <c r="F42" s="33"/>
      <c r="G42" s="33" t="e">
        <f t="shared" si="0"/>
        <v>#DIV/0!</v>
      </c>
      <c r="H42" s="33"/>
      <c r="I42" s="33"/>
      <c r="J42" s="33"/>
      <c r="K42" s="33" t="e">
        <f t="shared" si="1"/>
        <v>#DIV/0!</v>
      </c>
      <c r="L42" s="33"/>
      <c r="M42" s="33"/>
      <c r="N42" s="33"/>
      <c r="O42" s="33" t="e">
        <f t="shared" si="2"/>
        <v>#DIV/0!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 t="e">
        <f t="shared" si="3"/>
        <v>#DIV/0!</v>
      </c>
      <c r="AA42" s="33" t="e">
        <f t="shared" si="4"/>
        <v>#DIV/0!</v>
      </c>
      <c r="AB42" s="33" t="e">
        <f t="shared" si="5"/>
        <v>#DIV/0!</v>
      </c>
      <c r="AC42" s="33"/>
      <c r="AD42" s="33"/>
      <c r="AE42" s="33" t="e">
        <f>#REF!</f>
        <v>#REF!</v>
      </c>
      <c r="AF42" s="33">
        <f t="shared" si="6"/>
        <v>0</v>
      </c>
      <c r="AG42" s="33">
        <f t="shared" si="7"/>
        <v>0</v>
      </c>
      <c r="AH42" s="33">
        <f t="shared" si="8"/>
        <v>0</v>
      </c>
    </row>
    <row r="43" hidden="1" customHeight="1" spans="1:34">
      <c r="A43" s="31" t="s">
        <v>114</v>
      </c>
      <c r="B43" s="32"/>
      <c r="C43" s="32"/>
      <c r="D43" s="32"/>
      <c r="E43" s="33"/>
      <c r="F43" s="33"/>
      <c r="G43" s="33" t="e">
        <f t="shared" si="0"/>
        <v>#DIV/0!</v>
      </c>
      <c r="H43" s="33"/>
      <c r="I43" s="33"/>
      <c r="J43" s="33"/>
      <c r="K43" s="33" t="e">
        <f t="shared" si="1"/>
        <v>#DIV/0!</v>
      </c>
      <c r="L43" s="33"/>
      <c r="M43" s="33"/>
      <c r="N43" s="33"/>
      <c r="O43" s="33" t="e">
        <f t="shared" si="2"/>
        <v>#DIV/0!</v>
      </c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 t="e">
        <f t="shared" si="3"/>
        <v>#DIV/0!</v>
      </c>
      <c r="AA43" s="33" t="e">
        <f t="shared" si="4"/>
        <v>#DIV/0!</v>
      </c>
      <c r="AB43" s="33" t="e">
        <f t="shared" si="5"/>
        <v>#DIV/0!</v>
      </c>
      <c r="AC43" s="33"/>
      <c r="AD43" s="33"/>
      <c r="AE43" s="33" t="e">
        <f>#REF!</f>
        <v>#REF!</v>
      </c>
      <c r="AF43" s="33">
        <f t="shared" si="6"/>
        <v>0</v>
      </c>
      <c r="AG43" s="33">
        <f t="shared" si="7"/>
        <v>0</v>
      </c>
      <c r="AH43" s="33">
        <f t="shared" si="8"/>
        <v>0</v>
      </c>
    </row>
    <row r="44" hidden="1" customHeight="1" spans="5:25">
      <c r="E44" s="34"/>
      <c r="F44" s="34"/>
      <c r="G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52"/>
      <c r="X44" s="52"/>
      <c r="Y44" s="52"/>
    </row>
    <row r="45" hidden="1" customHeight="1" spans="23:25">
      <c r="W45" s="52"/>
      <c r="X45" s="52"/>
      <c r="Y45" s="52"/>
    </row>
    <row r="46" hidden="1" customHeight="1" spans="23:25">
      <c r="W46" s="52"/>
      <c r="X46" s="52"/>
      <c r="Y46" s="52"/>
    </row>
    <row r="47" hidden="1" customHeight="1" spans="23:25">
      <c r="W47" s="52"/>
      <c r="X47" s="52"/>
      <c r="Y47" s="52"/>
    </row>
    <row r="48" hidden="1" customHeight="1" spans="23:25">
      <c r="W48" s="52"/>
      <c r="X48" s="52"/>
      <c r="Y48" s="52"/>
    </row>
    <row r="49" ht="29.25" customHeight="1" spans="3:34">
      <c r="C49" s="35" t="s">
        <v>165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0" customHeight="1" spans="2:10">
      <c r="B50" s="36" t="s">
        <v>166</v>
      </c>
      <c r="C50" s="36"/>
      <c r="D50" s="36"/>
      <c r="E50"/>
      <c r="F50"/>
      <c r="H50"/>
      <c r="I50"/>
      <c r="J50"/>
    </row>
    <row r="51" customHeight="1" spans="2:10">
      <c r="B51" s="36"/>
      <c r="C51" s="36"/>
      <c r="D51" s="36"/>
      <c r="E51"/>
      <c r="F51"/>
      <c r="H51"/>
      <c r="I51"/>
      <c r="J51"/>
    </row>
    <row r="52" customHeight="1" spans="2:37">
      <c r="B52" s="36"/>
      <c r="C52" s="36"/>
      <c r="D52" s="36"/>
      <c r="E52" s="37" t="s">
        <v>117</v>
      </c>
      <c r="F52" s="38"/>
      <c r="G52" s="38"/>
      <c r="H52" s="37" t="s">
        <v>118</v>
      </c>
      <c r="I52" s="38"/>
      <c r="J52" s="38"/>
      <c r="K52" s="37" t="s">
        <v>119</v>
      </c>
      <c r="L52" s="38"/>
      <c r="M52" s="38"/>
      <c r="N52" s="37" t="s">
        <v>120</v>
      </c>
      <c r="O52" s="38"/>
      <c r="P52" s="38"/>
      <c r="Q52" s="37" t="s">
        <v>121</v>
      </c>
      <c r="R52" s="38"/>
      <c r="S52" s="38"/>
      <c r="T52" s="37" t="s">
        <v>122</v>
      </c>
      <c r="U52" s="38"/>
      <c r="V52" s="38"/>
      <c r="W52" s="37" t="s">
        <v>123</v>
      </c>
      <c r="X52" s="38"/>
      <c r="Y52" s="38"/>
      <c r="Z52" s="37" t="s">
        <v>124</v>
      </c>
      <c r="AA52" s="38"/>
      <c r="AB52" s="38"/>
      <c r="AC52" s="37" t="s">
        <v>125</v>
      </c>
      <c r="AD52" s="38"/>
      <c r="AE52" s="38"/>
      <c r="AF52" s="37" t="s">
        <v>126</v>
      </c>
      <c r="AG52" s="38"/>
      <c r="AH52" s="38"/>
      <c r="AI52" s="38"/>
      <c r="AJ52" s="38"/>
      <c r="AK52" s="38"/>
    </row>
    <row r="53" spans="3:34">
      <c r="C53" s="4"/>
      <c r="D53" s="4"/>
      <c r="E53" s="39" t="s">
        <v>130</v>
      </c>
      <c r="F53" s="39" t="s">
        <v>128</v>
      </c>
      <c r="G53" s="39" t="s">
        <v>155</v>
      </c>
      <c r="H53" s="40" t="s">
        <v>130</v>
      </c>
      <c r="I53" s="40" t="s">
        <v>128</v>
      </c>
      <c r="J53" s="40" t="s">
        <v>155</v>
      </c>
      <c r="K53" s="39" t="s">
        <v>130</v>
      </c>
      <c r="L53" s="39" t="s">
        <v>128</v>
      </c>
      <c r="M53" s="39" t="s">
        <v>155</v>
      </c>
      <c r="N53" s="40" t="s">
        <v>130</v>
      </c>
      <c r="O53" s="40" t="s">
        <v>128</v>
      </c>
      <c r="P53" s="40" t="s">
        <v>155</v>
      </c>
      <c r="Q53" s="39" t="s">
        <v>130</v>
      </c>
      <c r="R53" s="39" t="s">
        <v>128</v>
      </c>
      <c r="S53" s="39" t="s">
        <v>155</v>
      </c>
      <c r="T53" s="40" t="s">
        <v>128</v>
      </c>
      <c r="U53" s="40" t="s">
        <v>167</v>
      </c>
      <c r="V53" s="40" t="s">
        <v>154</v>
      </c>
      <c r="W53" s="39" t="s">
        <v>128</v>
      </c>
      <c r="X53" s="39" t="s">
        <v>168</v>
      </c>
      <c r="Y53" s="39" t="s">
        <v>154</v>
      </c>
      <c r="Z53" s="40" t="s">
        <v>128</v>
      </c>
      <c r="AA53" s="40" t="s">
        <v>167</v>
      </c>
      <c r="AB53" s="40" t="s">
        <v>154</v>
      </c>
      <c r="AC53" s="39" t="s">
        <v>128</v>
      </c>
      <c r="AD53" s="39" t="s">
        <v>168</v>
      </c>
      <c r="AE53" s="39" t="s">
        <v>154</v>
      </c>
      <c r="AF53" s="40" t="s">
        <v>128</v>
      </c>
      <c r="AG53" s="40" t="s">
        <v>167</v>
      </c>
      <c r="AH53" s="40" t="s">
        <v>154</v>
      </c>
    </row>
    <row r="54" spans="1:34">
      <c r="A54" s="41" t="s">
        <v>131</v>
      </c>
      <c r="B54" s="42" t="s">
        <v>132</v>
      </c>
      <c r="C54" s="43" t="s">
        <v>133</v>
      </c>
      <c r="D54" s="43" t="s">
        <v>134</v>
      </c>
      <c r="E54" s="44">
        <v>45803</v>
      </c>
      <c r="F54" s="44">
        <f>E54+1</f>
        <v>45804</v>
      </c>
      <c r="G54" s="44">
        <f>E54+4</f>
        <v>45807</v>
      </c>
      <c r="H54" s="44">
        <f>E54+7</f>
        <v>45810</v>
      </c>
      <c r="I54" s="44">
        <f>H54+1</f>
        <v>45811</v>
      </c>
      <c r="J54" s="44">
        <f>I54+3</f>
        <v>45814</v>
      </c>
      <c r="K54" s="44">
        <f t="shared" ref="K54" si="9">H54+7</f>
        <v>45817</v>
      </c>
      <c r="L54" s="44">
        <f t="shared" ref="L54" si="10">K54+1</f>
        <v>45818</v>
      </c>
      <c r="M54" s="44">
        <f t="shared" ref="M54" si="11">L54+3</f>
        <v>45821</v>
      </c>
      <c r="N54" s="44">
        <f t="shared" ref="N54" si="12">K54+7</f>
        <v>45824</v>
      </c>
      <c r="O54" s="44">
        <f t="shared" ref="O54" si="13">N54+1</f>
        <v>45825</v>
      </c>
      <c r="P54" s="44">
        <f t="shared" ref="P54" si="14">O54+3</f>
        <v>45828</v>
      </c>
      <c r="Q54" s="44">
        <f t="shared" ref="Q54" si="15">N54+7</f>
        <v>45831</v>
      </c>
      <c r="R54" s="44">
        <f t="shared" ref="R54" si="16">Q54+1</f>
        <v>45832</v>
      </c>
      <c r="S54" s="44">
        <f t="shared" ref="S54" si="17">R54+3</f>
        <v>45835</v>
      </c>
      <c r="T54" s="44">
        <f t="shared" ref="T54" si="18">Q54+7</f>
        <v>45838</v>
      </c>
      <c r="U54" s="44">
        <f t="shared" ref="U54" si="19">T54+1</f>
        <v>45839</v>
      </c>
      <c r="V54" s="44">
        <f t="shared" ref="V54" si="20">U54+3</f>
        <v>45842</v>
      </c>
      <c r="W54" s="44">
        <f t="shared" ref="W54" si="21">T54+7</f>
        <v>45845</v>
      </c>
      <c r="X54" s="44">
        <f t="shared" ref="X54" si="22">W54+1</f>
        <v>45846</v>
      </c>
      <c r="Y54" s="44">
        <f t="shared" ref="Y54" si="23">X54+3</f>
        <v>45849</v>
      </c>
      <c r="Z54" s="44">
        <f t="shared" ref="Z54" si="24">W54+7</f>
        <v>45852</v>
      </c>
      <c r="AA54" s="44">
        <f t="shared" ref="AA54" si="25">Z54+1</f>
        <v>45853</v>
      </c>
      <c r="AB54" s="44">
        <f t="shared" ref="AB54" si="26">AA54+3</f>
        <v>45856</v>
      </c>
      <c r="AC54" s="44">
        <f t="shared" ref="AC54" si="27">Z54+7</f>
        <v>45859</v>
      </c>
      <c r="AD54" s="44">
        <f t="shared" ref="AD54" si="28">AC54+1</f>
        <v>45860</v>
      </c>
      <c r="AE54" s="44">
        <f t="shared" ref="AE54" si="29">AD54+3</f>
        <v>45863</v>
      </c>
      <c r="AF54" s="44">
        <f>AC54+7</f>
        <v>45866</v>
      </c>
      <c r="AG54" s="44">
        <f>AF54+1</f>
        <v>45867</v>
      </c>
      <c r="AH54" s="44">
        <f>AG54+3</f>
        <v>45870</v>
      </c>
    </row>
    <row r="55" spans="1:40">
      <c r="A55" s="41" t="str">
        <f>'[1]final 5-J'!A11</f>
        <v>01</v>
      </c>
      <c r="B55" s="45" t="str">
        <f>'RELACION GENERAL'!D6</f>
        <v>APUMAITA GUTIERREZ JULIO LUCIANO</v>
      </c>
      <c r="C55" s="46" t="s">
        <v>169</v>
      </c>
      <c r="D55" s="46"/>
      <c r="E55" s="47" t="s">
        <v>135</v>
      </c>
      <c r="F55" s="47" t="s">
        <v>135</v>
      </c>
      <c r="G55" s="47"/>
      <c r="H55" s="47" t="s">
        <v>135</v>
      </c>
      <c r="I55" s="47" t="s">
        <v>135</v>
      </c>
      <c r="J55" s="47" t="s">
        <v>135</v>
      </c>
      <c r="K55" s="47" t="s">
        <v>135</v>
      </c>
      <c r="L55" s="47"/>
      <c r="M55" s="47" t="s">
        <v>135</v>
      </c>
      <c r="N55" s="47" t="s">
        <v>135</v>
      </c>
      <c r="O55" s="47" t="s">
        <v>135</v>
      </c>
      <c r="P55" s="47" t="s">
        <v>135</v>
      </c>
      <c r="Q55" s="47" t="s">
        <v>136</v>
      </c>
      <c r="R55" s="47" t="s">
        <v>135</v>
      </c>
      <c r="S55" s="47" t="s">
        <v>135</v>
      </c>
      <c r="T55" s="53" t="s">
        <v>138</v>
      </c>
      <c r="U55" s="47"/>
      <c r="V55" s="53"/>
      <c r="W55" s="47"/>
      <c r="X55" s="47"/>
      <c r="Y55" s="47"/>
      <c r="Z55" s="47" t="s">
        <v>135</v>
      </c>
      <c r="AA55" s="47" t="s">
        <v>135</v>
      </c>
      <c r="AB55" s="47" t="s">
        <v>136</v>
      </c>
      <c r="AC55" s="47"/>
      <c r="AD55" s="47" t="s">
        <v>135</v>
      </c>
      <c r="AE55" s="47" t="s">
        <v>139</v>
      </c>
      <c r="AF55" s="47"/>
      <c r="AG55" s="47"/>
      <c r="AH55" s="47"/>
      <c r="AI55">
        <v>3</v>
      </c>
      <c r="AJ55">
        <f>COUNTIF(E55:AE55,"ok")</f>
        <v>16</v>
      </c>
      <c r="AK55">
        <f>SUM(AI55:AJ55)</f>
        <v>19</v>
      </c>
      <c r="AL55">
        <v>0.74</v>
      </c>
      <c r="AM55">
        <f>PRODUCT(AK55:AL55)</f>
        <v>14.06</v>
      </c>
      <c r="AN55" s="4" t="s">
        <v>161</v>
      </c>
    </row>
    <row r="56" spans="1:40">
      <c r="A56" s="41" t="str">
        <f>'[1]final 5-J'!A12</f>
        <v>02</v>
      </c>
      <c r="B56" s="45" t="str">
        <f>'RELACION GENERAL'!D7</f>
        <v>CABRERA ORTIZ THIAGO ARMANDO</v>
      </c>
      <c r="C56" s="46"/>
      <c r="D56" s="46"/>
      <c r="E56" s="47" t="s">
        <v>135</v>
      </c>
      <c r="F56" s="47" t="s">
        <v>135</v>
      </c>
      <c r="G56" s="47" t="s">
        <v>135</v>
      </c>
      <c r="H56" s="47"/>
      <c r="I56" s="47" t="s">
        <v>135</v>
      </c>
      <c r="J56" s="47" t="s">
        <v>135</v>
      </c>
      <c r="K56" s="47" t="s">
        <v>135</v>
      </c>
      <c r="L56" s="47"/>
      <c r="M56" s="47" t="s">
        <v>135</v>
      </c>
      <c r="N56" s="47"/>
      <c r="O56" s="47"/>
      <c r="P56" s="47" t="s">
        <v>135</v>
      </c>
      <c r="Q56" s="47" t="s">
        <v>141</v>
      </c>
      <c r="R56" s="47" t="s">
        <v>135</v>
      </c>
      <c r="S56" s="47" t="s">
        <v>135</v>
      </c>
      <c r="T56" s="53" t="s">
        <v>138</v>
      </c>
      <c r="U56" s="47"/>
      <c r="V56" s="53"/>
      <c r="W56" s="47" t="s">
        <v>135</v>
      </c>
      <c r="X56" s="47" t="s">
        <v>135</v>
      </c>
      <c r="Y56" s="47" t="s">
        <v>135</v>
      </c>
      <c r="Z56" s="47" t="s">
        <v>135</v>
      </c>
      <c r="AA56" s="47" t="s">
        <v>135</v>
      </c>
      <c r="AB56" s="47" t="s">
        <v>159</v>
      </c>
      <c r="AC56" s="47" t="s">
        <v>135</v>
      </c>
      <c r="AD56" s="47" t="s">
        <v>135</v>
      </c>
      <c r="AE56" s="47" t="s">
        <v>170</v>
      </c>
      <c r="AF56" s="47"/>
      <c r="AG56" s="47"/>
      <c r="AH56" s="47"/>
      <c r="AI56">
        <v>3</v>
      </c>
      <c r="AJ56">
        <f t="shared" ref="AJ56:AJ73" si="30">COUNTIF(E56:AE56,"ok")</f>
        <v>18</v>
      </c>
      <c r="AK56">
        <f t="shared" ref="AK56:AK71" si="31">SUM(AI56:AJ56)</f>
        <v>21</v>
      </c>
      <c r="AL56">
        <v>0.74</v>
      </c>
      <c r="AM56">
        <f t="shared" ref="AM56:AM71" si="32">PRODUCT(AK56:AL56)</f>
        <v>15.54</v>
      </c>
      <c r="AN56" s="4" t="s">
        <v>163</v>
      </c>
    </row>
    <row r="57" spans="1:40">
      <c r="A57" s="41" t="str">
        <f>'[1]final 5-J'!A13</f>
        <v>03</v>
      </c>
      <c r="B57" s="45" t="str">
        <f>'RELACION GENERAL'!D8</f>
        <v>CACERES CAHUANA JESUS ANDRES</v>
      </c>
      <c r="C57" s="46"/>
      <c r="D57" s="46"/>
      <c r="E57" s="47"/>
      <c r="F57" s="47" t="s">
        <v>135</v>
      </c>
      <c r="G57" s="47" t="s">
        <v>135</v>
      </c>
      <c r="H57" s="47" t="s">
        <v>135</v>
      </c>
      <c r="I57" s="47" t="s">
        <v>135</v>
      </c>
      <c r="J57" s="47"/>
      <c r="K57" s="47" t="s">
        <v>135</v>
      </c>
      <c r="L57" s="47" t="s">
        <v>135</v>
      </c>
      <c r="M57" s="47" t="s">
        <v>135</v>
      </c>
      <c r="N57" s="47"/>
      <c r="O57" s="47"/>
      <c r="P57" s="47" t="s">
        <v>135</v>
      </c>
      <c r="Q57" s="47" t="s">
        <v>171</v>
      </c>
      <c r="R57" s="47" t="s">
        <v>135</v>
      </c>
      <c r="S57" s="47" t="s">
        <v>135</v>
      </c>
      <c r="T57" s="53" t="s">
        <v>138</v>
      </c>
      <c r="U57" s="47" t="s">
        <v>138</v>
      </c>
      <c r="V57" s="53"/>
      <c r="W57" s="47" t="s">
        <v>135</v>
      </c>
      <c r="X57" s="47" t="s">
        <v>135</v>
      </c>
      <c r="Y57" s="47" t="s">
        <v>135</v>
      </c>
      <c r="Z57" s="47" t="s">
        <v>135</v>
      </c>
      <c r="AA57" s="47" t="s">
        <v>135</v>
      </c>
      <c r="AB57" s="47" t="s">
        <v>162</v>
      </c>
      <c r="AC57" s="47"/>
      <c r="AD57" s="47" t="s">
        <v>135</v>
      </c>
      <c r="AE57" s="47" t="s">
        <v>172</v>
      </c>
      <c r="AF57" s="47"/>
      <c r="AG57" s="47"/>
      <c r="AH57" s="47"/>
      <c r="AI57">
        <v>3</v>
      </c>
      <c r="AJ57">
        <f t="shared" si="30"/>
        <v>18</v>
      </c>
      <c r="AK57">
        <f t="shared" si="31"/>
        <v>21</v>
      </c>
      <c r="AL57">
        <v>0.74</v>
      </c>
      <c r="AM57">
        <f t="shared" si="32"/>
        <v>15.54</v>
      </c>
      <c r="AN57" s="4" t="s">
        <v>163</v>
      </c>
    </row>
    <row r="58" spans="1:40">
      <c r="A58" s="41" t="str">
        <f>'[1]final 5-J'!A14</f>
        <v>04</v>
      </c>
      <c r="B58" s="45" t="str">
        <f>'RELACION GENERAL'!D9</f>
        <v>DE LA CRUZ SIGUAS LUIS ALBERTO</v>
      </c>
      <c r="C58" s="46"/>
      <c r="D58" s="46"/>
      <c r="E58" s="47"/>
      <c r="F58" s="47" t="s">
        <v>135</v>
      </c>
      <c r="G58" s="47" t="s">
        <v>135</v>
      </c>
      <c r="H58" s="47"/>
      <c r="I58" s="47" t="s">
        <v>135</v>
      </c>
      <c r="J58" s="47"/>
      <c r="K58" s="47" t="s">
        <v>135</v>
      </c>
      <c r="L58" s="47"/>
      <c r="M58" s="47" t="s">
        <v>135</v>
      </c>
      <c r="N58" s="47" t="s">
        <v>135</v>
      </c>
      <c r="O58" s="47" t="s">
        <v>135</v>
      </c>
      <c r="P58" s="47"/>
      <c r="Q58" s="47" t="s">
        <v>173</v>
      </c>
      <c r="R58" s="47" t="s">
        <v>135</v>
      </c>
      <c r="S58" s="47" t="s">
        <v>135</v>
      </c>
      <c r="T58" s="53"/>
      <c r="U58" s="47"/>
      <c r="V58" s="53" t="s">
        <v>138</v>
      </c>
      <c r="W58" s="47" t="s">
        <v>135</v>
      </c>
      <c r="X58" s="47"/>
      <c r="Y58" s="47"/>
      <c r="Z58" s="47"/>
      <c r="AA58" s="47" t="s">
        <v>135</v>
      </c>
      <c r="AB58" s="47"/>
      <c r="AC58" s="47"/>
      <c r="AD58" s="47"/>
      <c r="AE58" s="47"/>
      <c r="AF58" s="47"/>
      <c r="AG58" s="47"/>
      <c r="AH58" s="47"/>
      <c r="AI58">
        <v>3</v>
      </c>
      <c r="AJ58">
        <f t="shared" si="30"/>
        <v>12</v>
      </c>
      <c r="AK58">
        <f t="shared" si="31"/>
        <v>15</v>
      </c>
      <c r="AL58">
        <v>0.74</v>
      </c>
      <c r="AM58">
        <f t="shared" si="32"/>
        <v>11.1</v>
      </c>
      <c r="AN58" s="4" t="s">
        <v>161</v>
      </c>
    </row>
    <row r="59" spans="1:40">
      <c r="A59" s="41" t="str">
        <f>'[1]final 5-J'!A15</f>
        <v>05</v>
      </c>
      <c r="B59" s="45" t="str">
        <f>'RELACION GENERAL'!D10</f>
        <v>HERNANDEZ PEÑA JOSEPH ANDREE</v>
      </c>
      <c r="C59" s="48"/>
      <c r="D59" s="48"/>
      <c r="E59" s="47"/>
      <c r="F59" s="47" t="s">
        <v>135</v>
      </c>
      <c r="G59" s="47"/>
      <c r="H59" s="47" t="s">
        <v>135</v>
      </c>
      <c r="I59" s="47" t="s">
        <v>135</v>
      </c>
      <c r="J59" s="47" t="s">
        <v>135</v>
      </c>
      <c r="K59" s="47"/>
      <c r="L59" s="47"/>
      <c r="M59" s="47" t="s">
        <v>135</v>
      </c>
      <c r="N59" s="47" t="s">
        <v>135</v>
      </c>
      <c r="O59" s="47" t="s">
        <v>135</v>
      </c>
      <c r="P59" s="47"/>
      <c r="Q59" s="47"/>
      <c r="R59" s="47" t="s">
        <v>135</v>
      </c>
      <c r="S59" s="47" t="s">
        <v>135</v>
      </c>
      <c r="T59" s="53"/>
      <c r="U59" s="47" t="s">
        <v>138</v>
      </c>
      <c r="V59" s="53"/>
      <c r="W59" s="47" t="s">
        <v>135</v>
      </c>
      <c r="X59" s="47" t="s">
        <v>135</v>
      </c>
      <c r="Y59" s="47" t="s">
        <v>135</v>
      </c>
      <c r="Z59" s="47" t="s">
        <v>135</v>
      </c>
      <c r="AA59" s="47" t="s">
        <v>135</v>
      </c>
      <c r="AB59" s="47"/>
      <c r="AC59" s="47" t="s">
        <v>135</v>
      </c>
      <c r="AD59" s="47"/>
      <c r="AE59" s="47"/>
      <c r="AF59" s="47"/>
      <c r="AG59" s="47"/>
      <c r="AH59" s="47"/>
      <c r="AI59">
        <v>3</v>
      </c>
      <c r="AJ59">
        <f t="shared" si="30"/>
        <v>16</v>
      </c>
      <c r="AK59">
        <f t="shared" si="31"/>
        <v>19</v>
      </c>
      <c r="AL59">
        <v>0.74</v>
      </c>
      <c r="AM59">
        <f t="shared" si="32"/>
        <v>14.06</v>
      </c>
      <c r="AN59" s="4" t="s">
        <v>161</v>
      </c>
    </row>
    <row r="60" s="1" customFormat="1" spans="1:40">
      <c r="A60" s="49" t="str">
        <f>'[1]final 5-J'!A16</f>
        <v>06</v>
      </c>
      <c r="B60" s="50" t="str">
        <f>'RELACION GENERAL'!D11</f>
        <v>JUAREZ LEGUA VICTOR DANIEL</v>
      </c>
      <c r="C60" s="51"/>
      <c r="D60" s="51"/>
      <c r="E60" s="47" t="s">
        <v>135</v>
      </c>
      <c r="F60" s="47" t="s">
        <v>135</v>
      </c>
      <c r="G60" s="47" t="s">
        <v>135</v>
      </c>
      <c r="H60" s="47" t="s">
        <v>135</v>
      </c>
      <c r="I60" s="47" t="s">
        <v>135</v>
      </c>
      <c r="J60" s="47" t="s">
        <v>135</v>
      </c>
      <c r="K60" s="47" t="s">
        <v>135</v>
      </c>
      <c r="L60" s="47" t="s">
        <v>135</v>
      </c>
      <c r="M60" s="47" t="s">
        <v>135</v>
      </c>
      <c r="N60" s="47" t="s">
        <v>135</v>
      </c>
      <c r="O60" s="47" t="s">
        <v>135</v>
      </c>
      <c r="P60" s="47" t="s">
        <v>135</v>
      </c>
      <c r="Q60" s="47"/>
      <c r="R60" s="47" t="s">
        <v>135</v>
      </c>
      <c r="S60" s="47" t="s">
        <v>135</v>
      </c>
      <c r="T60" s="53" t="s">
        <v>138</v>
      </c>
      <c r="U60" s="47" t="s">
        <v>138</v>
      </c>
      <c r="V60" s="53" t="s">
        <v>138</v>
      </c>
      <c r="W60" s="47" t="s">
        <v>135</v>
      </c>
      <c r="X60" s="47" t="s">
        <v>135</v>
      </c>
      <c r="Y60" s="47" t="s">
        <v>135</v>
      </c>
      <c r="Z60" s="47" t="s">
        <v>135</v>
      </c>
      <c r="AA60" s="47" t="s">
        <v>135</v>
      </c>
      <c r="AB60" s="47"/>
      <c r="AC60" s="47" t="s">
        <v>135</v>
      </c>
      <c r="AD60" s="47" t="s">
        <v>135</v>
      </c>
      <c r="AE60" s="47"/>
      <c r="AF60" s="56"/>
      <c r="AG60" s="56"/>
      <c r="AH60" s="56"/>
      <c r="AI60">
        <v>3</v>
      </c>
      <c r="AJ60" s="1">
        <f t="shared" si="30"/>
        <v>24</v>
      </c>
      <c r="AK60" s="1">
        <f t="shared" si="31"/>
        <v>27</v>
      </c>
      <c r="AL60" s="1">
        <v>0.74</v>
      </c>
      <c r="AM60" s="1">
        <f t="shared" si="32"/>
        <v>19.98</v>
      </c>
      <c r="AN60" s="57" t="s">
        <v>140</v>
      </c>
    </row>
    <row r="61" spans="1:40">
      <c r="A61" s="41" t="str">
        <f>'[1]final 5-J'!A17</f>
        <v>07</v>
      </c>
      <c r="B61" s="45" t="str">
        <f>'RELACION GENERAL'!D12</f>
        <v>MEJIA SIMON VICENTE MISAEL</v>
      </c>
      <c r="C61" s="46"/>
      <c r="D61" s="46"/>
      <c r="E61" s="47" t="s">
        <v>135</v>
      </c>
      <c r="F61" s="47" t="s">
        <v>135</v>
      </c>
      <c r="G61" s="47" t="s">
        <v>135</v>
      </c>
      <c r="H61" s="47" t="s">
        <v>135</v>
      </c>
      <c r="I61" s="47" t="s">
        <v>135</v>
      </c>
      <c r="J61" s="47" t="s">
        <v>135</v>
      </c>
      <c r="K61" s="47" t="s">
        <v>135</v>
      </c>
      <c r="L61" s="47" t="s">
        <v>135</v>
      </c>
      <c r="M61" s="47" t="s">
        <v>135</v>
      </c>
      <c r="N61" s="47" t="s">
        <v>135</v>
      </c>
      <c r="O61" s="47" t="s">
        <v>135</v>
      </c>
      <c r="P61" s="47" t="s">
        <v>135</v>
      </c>
      <c r="Q61" s="47"/>
      <c r="R61" s="47" t="s">
        <v>135</v>
      </c>
      <c r="S61" s="47" t="s">
        <v>135</v>
      </c>
      <c r="T61" s="53" t="s">
        <v>138</v>
      </c>
      <c r="U61" s="47" t="s">
        <v>138</v>
      </c>
      <c r="V61" s="53" t="s">
        <v>138</v>
      </c>
      <c r="W61" s="47" t="s">
        <v>135</v>
      </c>
      <c r="X61" s="47" t="s">
        <v>135</v>
      </c>
      <c r="Y61" s="47" t="s">
        <v>135</v>
      </c>
      <c r="Z61" s="47" t="s">
        <v>135</v>
      </c>
      <c r="AA61" s="47" t="s">
        <v>135</v>
      </c>
      <c r="AB61" s="47"/>
      <c r="AC61" s="47" t="s">
        <v>135</v>
      </c>
      <c r="AD61" s="47" t="s">
        <v>135</v>
      </c>
      <c r="AE61" s="47"/>
      <c r="AF61" s="47"/>
      <c r="AG61" s="47"/>
      <c r="AH61" s="47"/>
      <c r="AI61">
        <v>3</v>
      </c>
      <c r="AJ61">
        <f t="shared" si="30"/>
        <v>24</v>
      </c>
      <c r="AK61">
        <f t="shared" si="31"/>
        <v>27</v>
      </c>
      <c r="AL61">
        <v>0.74</v>
      </c>
      <c r="AM61">
        <f t="shared" si="32"/>
        <v>19.98</v>
      </c>
      <c r="AN61" s="4" t="s">
        <v>140</v>
      </c>
    </row>
    <row r="62" spans="1:40">
      <c r="A62" s="41" t="str">
        <f>'[1]final 5-J'!A18</f>
        <v>08</v>
      </c>
      <c r="B62" s="45" t="str">
        <f>'RELACION GENERAL'!D13</f>
        <v>MEZA CARDENAS FERNANDO ALEXANDER</v>
      </c>
      <c r="C62" s="46"/>
      <c r="D62" s="46"/>
      <c r="E62" s="47"/>
      <c r="F62" s="47" t="s">
        <v>135</v>
      </c>
      <c r="G62" s="47" t="s">
        <v>135</v>
      </c>
      <c r="H62" s="47" t="s">
        <v>135</v>
      </c>
      <c r="I62" s="47" t="s">
        <v>135</v>
      </c>
      <c r="J62" s="47"/>
      <c r="K62" s="47" t="s">
        <v>135</v>
      </c>
      <c r="L62" s="47" t="s">
        <v>135</v>
      </c>
      <c r="M62" s="47" t="s">
        <v>135</v>
      </c>
      <c r="N62" s="47" t="s">
        <v>135</v>
      </c>
      <c r="O62" s="47" t="s">
        <v>135</v>
      </c>
      <c r="P62" s="47" t="s">
        <v>135</v>
      </c>
      <c r="Q62" s="47"/>
      <c r="R62" s="47" t="s">
        <v>135</v>
      </c>
      <c r="S62" s="47" t="s">
        <v>135</v>
      </c>
      <c r="T62" s="53" t="s">
        <v>138</v>
      </c>
      <c r="U62" s="47" t="s">
        <v>138</v>
      </c>
      <c r="V62" s="53"/>
      <c r="W62" s="47" t="s">
        <v>135</v>
      </c>
      <c r="X62" s="47" t="s">
        <v>135</v>
      </c>
      <c r="Y62" s="47" t="s">
        <v>135</v>
      </c>
      <c r="Z62" s="47" t="s">
        <v>135</v>
      </c>
      <c r="AA62" s="47" t="s">
        <v>135</v>
      </c>
      <c r="AB62" s="47"/>
      <c r="AC62" s="47" t="s">
        <v>135</v>
      </c>
      <c r="AD62" s="47" t="s">
        <v>135</v>
      </c>
      <c r="AE62" s="47"/>
      <c r="AF62" s="47"/>
      <c r="AG62" s="47"/>
      <c r="AH62" s="47"/>
      <c r="AI62">
        <v>3</v>
      </c>
      <c r="AJ62">
        <f t="shared" si="30"/>
        <v>21</v>
      </c>
      <c r="AK62">
        <f t="shared" si="31"/>
        <v>24</v>
      </c>
      <c r="AL62">
        <v>0.74</v>
      </c>
      <c r="AM62">
        <f t="shared" si="32"/>
        <v>17.76</v>
      </c>
      <c r="AN62" s="4" t="s">
        <v>163</v>
      </c>
    </row>
    <row r="63" spans="1:40">
      <c r="A63" s="41" t="str">
        <f>'[1]final 5-J'!A19</f>
        <v>09</v>
      </c>
      <c r="B63" s="45" t="str">
        <f>'RELACION GENERAL'!D14</f>
        <v>MISAICO CHAHUAILA JUAN DAVID</v>
      </c>
      <c r="C63" s="46"/>
      <c r="D63" s="46"/>
      <c r="E63" s="47" t="s">
        <v>135</v>
      </c>
      <c r="F63" s="47" t="s">
        <v>135</v>
      </c>
      <c r="G63" s="47" t="s">
        <v>135</v>
      </c>
      <c r="H63" s="47"/>
      <c r="I63" s="47" t="s">
        <v>135</v>
      </c>
      <c r="J63" s="47" t="s">
        <v>135</v>
      </c>
      <c r="K63" s="47" t="s">
        <v>135</v>
      </c>
      <c r="L63" s="47" t="s">
        <v>135</v>
      </c>
      <c r="M63" s="47" t="s">
        <v>135</v>
      </c>
      <c r="N63" s="47" t="s">
        <v>135</v>
      </c>
      <c r="O63" s="47" t="s">
        <v>135</v>
      </c>
      <c r="P63" s="47" t="s">
        <v>135</v>
      </c>
      <c r="Q63" s="47"/>
      <c r="R63" s="47" t="s">
        <v>135</v>
      </c>
      <c r="S63" s="47" t="s">
        <v>135</v>
      </c>
      <c r="T63" s="53" t="s">
        <v>138</v>
      </c>
      <c r="U63" s="47" t="s">
        <v>138</v>
      </c>
      <c r="V63" s="53" t="s">
        <v>138</v>
      </c>
      <c r="W63" s="47" t="s">
        <v>135</v>
      </c>
      <c r="X63" s="47" t="s">
        <v>135</v>
      </c>
      <c r="Y63" s="47" t="s">
        <v>135</v>
      </c>
      <c r="Z63" s="47" t="s">
        <v>135</v>
      </c>
      <c r="AA63" s="47" t="s">
        <v>135</v>
      </c>
      <c r="AB63" s="47"/>
      <c r="AC63" s="47" t="s">
        <v>135</v>
      </c>
      <c r="AD63" s="47" t="s">
        <v>135</v>
      </c>
      <c r="AE63" s="47"/>
      <c r="AF63" s="47"/>
      <c r="AG63" s="47"/>
      <c r="AH63" s="47"/>
      <c r="AI63">
        <v>3</v>
      </c>
      <c r="AJ63">
        <f t="shared" si="30"/>
        <v>23</v>
      </c>
      <c r="AK63">
        <f t="shared" si="31"/>
        <v>26</v>
      </c>
      <c r="AL63">
        <v>0.74</v>
      </c>
      <c r="AM63">
        <f t="shared" si="32"/>
        <v>19.24</v>
      </c>
      <c r="AN63" s="4" t="s">
        <v>140</v>
      </c>
    </row>
    <row r="64" spans="1:40">
      <c r="A64" s="41" t="str">
        <f>'[1]final 5-J'!A20</f>
        <v>10</v>
      </c>
      <c r="B64" s="45" t="str">
        <f>'RELACION GENERAL'!D15</f>
        <v>MUÑOZ QUINTANILLA JACKXEL EDUARDO</v>
      </c>
      <c r="C64" s="46"/>
      <c r="D64" s="46"/>
      <c r="E64" s="47"/>
      <c r="F64" s="47" t="s">
        <v>135</v>
      </c>
      <c r="G64" s="47"/>
      <c r="H64" s="47" t="s">
        <v>135</v>
      </c>
      <c r="I64" s="47" t="s">
        <v>135</v>
      </c>
      <c r="J64" s="47" t="s">
        <v>135</v>
      </c>
      <c r="K64" s="47"/>
      <c r="L64" s="47"/>
      <c r="M64" s="47" t="s">
        <v>135</v>
      </c>
      <c r="N64" s="47" t="s">
        <v>135</v>
      </c>
      <c r="O64" s="47" t="s">
        <v>135</v>
      </c>
      <c r="P64" s="47"/>
      <c r="Q64" s="47"/>
      <c r="R64" s="47" t="s">
        <v>135</v>
      </c>
      <c r="S64" s="47" t="s">
        <v>135</v>
      </c>
      <c r="T64" s="53" t="s">
        <v>138</v>
      </c>
      <c r="U64" s="47" t="s">
        <v>138</v>
      </c>
      <c r="V64" s="53" t="s">
        <v>138</v>
      </c>
      <c r="W64" s="47" t="s">
        <v>135</v>
      </c>
      <c r="X64" s="47" t="s">
        <v>135</v>
      </c>
      <c r="Y64" s="47" t="s">
        <v>135</v>
      </c>
      <c r="Z64" s="47" t="s">
        <v>135</v>
      </c>
      <c r="AA64" s="47" t="s">
        <v>135</v>
      </c>
      <c r="AB64" s="47"/>
      <c r="AC64" s="47"/>
      <c r="AD64" s="47" t="s">
        <v>135</v>
      </c>
      <c r="AE64" s="47"/>
      <c r="AF64" s="47"/>
      <c r="AG64" s="47"/>
      <c r="AH64" s="47"/>
      <c r="AI64">
        <v>3</v>
      </c>
      <c r="AJ64">
        <f t="shared" si="30"/>
        <v>18</v>
      </c>
      <c r="AK64">
        <f t="shared" si="31"/>
        <v>21</v>
      </c>
      <c r="AL64">
        <v>0.74</v>
      </c>
      <c r="AM64">
        <f t="shared" si="32"/>
        <v>15.54</v>
      </c>
      <c r="AN64" s="4" t="s">
        <v>163</v>
      </c>
    </row>
    <row r="65" spans="1:40">
      <c r="A65" s="41" t="str">
        <f>'[1]final 5-J'!A21</f>
        <v>11</v>
      </c>
      <c r="B65" s="45" t="str">
        <f>'RELACION GENERAL'!D16</f>
        <v>PEÑA ASCENCIO CESAR LUIS</v>
      </c>
      <c r="C65" s="46"/>
      <c r="D65" s="46"/>
      <c r="E65" s="47" t="s">
        <v>135</v>
      </c>
      <c r="F65" s="47" t="s">
        <v>135</v>
      </c>
      <c r="G65" s="47"/>
      <c r="H65" s="47" t="s">
        <v>135</v>
      </c>
      <c r="I65" s="47" t="s">
        <v>135</v>
      </c>
      <c r="J65" s="47"/>
      <c r="K65" s="47" t="s">
        <v>135</v>
      </c>
      <c r="L65" s="47" t="s">
        <v>135</v>
      </c>
      <c r="M65" s="47" t="s">
        <v>135</v>
      </c>
      <c r="N65" s="47" t="s">
        <v>135</v>
      </c>
      <c r="O65" s="47" t="s">
        <v>135</v>
      </c>
      <c r="P65" s="47"/>
      <c r="Q65" s="47"/>
      <c r="R65" s="47" t="s">
        <v>135</v>
      </c>
      <c r="S65" s="47" t="s">
        <v>135</v>
      </c>
      <c r="T65" s="53" t="s">
        <v>138</v>
      </c>
      <c r="U65" s="47" t="s">
        <v>138</v>
      </c>
      <c r="V65" s="53"/>
      <c r="W65" s="47" t="s">
        <v>135</v>
      </c>
      <c r="X65" s="47" t="s">
        <v>135</v>
      </c>
      <c r="Y65" s="47" t="s">
        <v>135</v>
      </c>
      <c r="Z65" s="47" t="s">
        <v>135</v>
      </c>
      <c r="AA65" s="47" t="s">
        <v>135</v>
      </c>
      <c r="AB65" s="47"/>
      <c r="AC65" s="47" t="s">
        <v>135</v>
      </c>
      <c r="AD65" s="47"/>
      <c r="AE65" s="47"/>
      <c r="AF65" s="47"/>
      <c r="AG65" s="47"/>
      <c r="AH65" s="47"/>
      <c r="AI65">
        <v>3</v>
      </c>
      <c r="AJ65">
        <f t="shared" si="30"/>
        <v>19</v>
      </c>
      <c r="AK65">
        <f t="shared" si="31"/>
        <v>22</v>
      </c>
      <c r="AL65">
        <v>0.74</v>
      </c>
      <c r="AM65">
        <f t="shared" si="32"/>
        <v>16.28</v>
      </c>
      <c r="AN65" s="4" t="s">
        <v>163</v>
      </c>
    </row>
    <row r="66" spans="1:40">
      <c r="A66" s="41" t="str">
        <f>'[1]final 5-J'!A22</f>
        <v>12</v>
      </c>
      <c r="B66" s="45" t="str">
        <f>'RELACION GENERAL'!D17</f>
        <v>SOSA FUENTES UBALDO FRANCISCO</v>
      </c>
      <c r="C66" s="46"/>
      <c r="D66" s="46"/>
      <c r="E66" s="47" t="s">
        <v>135</v>
      </c>
      <c r="F66" s="47" t="s">
        <v>135</v>
      </c>
      <c r="G66" s="47" t="s">
        <v>135</v>
      </c>
      <c r="H66" s="47" t="s">
        <v>135</v>
      </c>
      <c r="I66" s="47" t="s">
        <v>135</v>
      </c>
      <c r="J66" s="47"/>
      <c r="K66" s="47"/>
      <c r="L66" s="47"/>
      <c r="M66" s="47" t="s">
        <v>135</v>
      </c>
      <c r="N66" s="47"/>
      <c r="O66" s="47"/>
      <c r="P66" s="47"/>
      <c r="Q66" s="47"/>
      <c r="R66" s="47"/>
      <c r="S66" s="47" t="s">
        <v>135</v>
      </c>
      <c r="T66" s="53" t="s">
        <v>138</v>
      </c>
      <c r="U66" s="47" t="s">
        <v>138</v>
      </c>
      <c r="V66" s="53" t="s">
        <v>138</v>
      </c>
      <c r="W66" s="47"/>
      <c r="X66" s="47" t="s">
        <v>135</v>
      </c>
      <c r="Y66" s="47" t="s">
        <v>135</v>
      </c>
      <c r="Z66" s="47"/>
      <c r="AA66" s="47" t="s">
        <v>135</v>
      </c>
      <c r="AB66" s="47"/>
      <c r="AC66" s="47"/>
      <c r="AD66" s="47"/>
      <c r="AE66" s="69"/>
      <c r="AF66" s="47"/>
      <c r="AG66" s="47"/>
      <c r="AH66" s="47"/>
      <c r="AI66">
        <v>3</v>
      </c>
      <c r="AJ66">
        <f t="shared" si="30"/>
        <v>13</v>
      </c>
      <c r="AK66">
        <f t="shared" si="31"/>
        <v>16</v>
      </c>
      <c r="AL66">
        <v>0.74</v>
      </c>
      <c r="AM66">
        <f t="shared" si="32"/>
        <v>11.84</v>
      </c>
      <c r="AN66" s="4" t="s">
        <v>161</v>
      </c>
    </row>
    <row r="67" spans="1:34">
      <c r="A67" s="41" t="str">
        <f>'[1]final 5-J'!A24</f>
        <v>14</v>
      </c>
      <c r="B67" s="45"/>
      <c r="C67" s="46"/>
      <c r="D67" s="46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</row>
    <row r="68" spans="1:34">
      <c r="A68" s="41" t="str">
        <f>'[1]final 5-J'!A25</f>
        <v>15</v>
      </c>
      <c r="B68" s="45"/>
      <c r="C68" s="46"/>
      <c r="D68" s="46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</row>
    <row r="69" spans="1:40">
      <c r="A69" s="41" t="str">
        <f>'[1]final 5-J'!A26</f>
        <v>16</v>
      </c>
      <c r="B69" s="45"/>
      <c r="C69" s="46"/>
      <c r="D69" s="46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>
        <v>5</v>
      </c>
      <c r="AJ69">
        <f t="shared" si="30"/>
        <v>0</v>
      </c>
      <c r="AK69">
        <f t="shared" si="31"/>
        <v>5</v>
      </c>
      <c r="AL69">
        <v>0.74</v>
      </c>
      <c r="AM69">
        <f t="shared" si="32"/>
        <v>3.7</v>
      </c>
      <c r="AN69" s="4" t="s">
        <v>163</v>
      </c>
    </row>
    <row r="70" spans="1:40">
      <c r="A70" s="41" t="str">
        <f>'[1]final 5-J'!A27</f>
        <v>17</v>
      </c>
      <c r="B70" s="45"/>
      <c r="C70" s="46"/>
      <c r="D70" s="46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>
        <v>5</v>
      </c>
      <c r="AJ70">
        <f t="shared" si="30"/>
        <v>0</v>
      </c>
      <c r="AK70">
        <f t="shared" si="31"/>
        <v>5</v>
      </c>
      <c r="AL70">
        <v>0.74</v>
      </c>
      <c r="AM70">
        <f t="shared" si="32"/>
        <v>3.7</v>
      </c>
      <c r="AN70" s="4" t="s">
        <v>140</v>
      </c>
    </row>
    <row r="71" spans="1:40">
      <c r="A71" s="41" t="str">
        <f>'[1]final 5-J'!A28</f>
        <v>18</v>
      </c>
      <c r="B71" s="45"/>
      <c r="C71" s="46"/>
      <c r="D71" s="46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>
        <v>5</v>
      </c>
      <c r="AJ71">
        <f t="shared" si="30"/>
        <v>0</v>
      </c>
      <c r="AK71">
        <f t="shared" si="31"/>
        <v>5</v>
      </c>
      <c r="AL71">
        <v>0.74</v>
      </c>
      <c r="AM71">
        <f t="shared" si="32"/>
        <v>3.7</v>
      </c>
      <c r="AN71" s="4" t="s">
        <v>163</v>
      </c>
    </row>
    <row r="72" spans="1:36">
      <c r="A72" s="41" t="str">
        <f>'[1]final 5-J'!A29</f>
        <v>19</v>
      </c>
      <c r="B72" s="45"/>
      <c r="C72" s="46"/>
      <c r="D72" s="46"/>
      <c r="E72" s="47"/>
      <c r="F72" s="47"/>
      <c r="G72" s="47"/>
      <c r="H72" s="47"/>
      <c r="I72" s="47"/>
      <c r="J72" s="47"/>
      <c r="K72" s="47"/>
      <c r="L72" s="47"/>
      <c r="M72" s="41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1"/>
      <c r="AC72" s="41"/>
      <c r="AD72" s="47"/>
      <c r="AE72" s="47"/>
      <c r="AF72" s="41"/>
      <c r="AG72" s="41"/>
      <c r="AH72" s="41"/>
      <c r="AJ72">
        <f t="shared" si="30"/>
        <v>0</v>
      </c>
    </row>
    <row r="73" spans="1:36">
      <c r="A73" s="41" t="str">
        <f>'[1]final 5-J'!A30</f>
        <v>20</v>
      </c>
      <c r="B73" s="45"/>
      <c r="C73" s="46"/>
      <c r="D73" s="46"/>
      <c r="E73" s="58">
        <f t="shared" ref="E73:AH73" si="33">COUNTIF(E55:E71,"OK")</f>
        <v>7</v>
      </c>
      <c r="F73" s="59">
        <f t="shared" si="33"/>
        <v>12</v>
      </c>
      <c r="G73" s="59">
        <f t="shared" si="33"/>
        <v>8</v>
      </c>
      <c r="H73" s="59">
        <f t="shared" si="33"/>
        <v>9</v>
      </c>
      <c r="I73" s="59">
        <f t="shared" si="33"/>
        <v>12</v>
      </c>
      <c r="J73" s="59">
        <f t="shared" si="33"/>
        <v>7</v>
      </c>
      <c r="K73" s="59">
        <f t="shared" si="33"/>
        <v>9</v>
      </c>
      <c r="L73" s="59">
        <f t="shared" si="33"/>
        <v>6</v>
      </c>
      <c r="M73" s="59">
        <f t="shared" si="33"/>
        <v>12</v>
      </c>
      <c r="N73" s="59">
        <f t="shared" si="33"/>
        <v>9</v>
      </c>
      <c r="O73" s="59">
        <f t="shared" si="33"/>
        <v>9</v>
      </c>
      <c r="P73" s="59">
        <f t="shared" si="33"/>
        <v>7</v>
      </c>
      <c r="Q73" s="59">
        <f t="shared" si="33"/>
        <v>0</v>
      </c>
      <c r="R73" s="59">
        <f t="shared" si="33"/>
        <v>11</v>
      </c>
      <c r="S73" s="59">
        <f t="shared" si="33"/>
        <v>12</v>
      </c>
      <c r="T73" s="59">
        <f t="shared" si="33"/>
        <v>10</v>
      </c>
      <c r="U73" s="59">
        <f t="shared" si="33"/>
        <v>9</v>
      </c>
      <c r="V73" s="59">
        <f t="shared" si="33"/>
        <v>6</v>
      </c>
      <c r="W73" s="59">
        <f t="shared" si="33"/>
        <v>10</v>
      </c>
      <c r="X73" s="59">
        <f t="shared" si="33"/>
        <v>10</v>
      </c>
      <c r="Y73" s="59">
        <f t="shared" si="33"/>
        <v>10</v>
      </c>
      <c r="Z73" s="59">
        <f t="shared" si="33"/>
        <v>10</v>
      </c>
      <c r="AA73" s="59">
        <f t="shared" si="33"/>
        <v>12</v>
      </c>
      <c r="AB73" s="59">
        <f t="shared" si="33"/>
        <v>0</v>
      </c>
      <c r="AC73" s="59">
        <f t="shared" si="33"/>
        <v>7</v>
      </c>
      <c r="AD73" s="59">
        <f t="shared" si="33"/>
        <v>8</v>
      </c>
      <c r="AE73" s="59">
        <f t="shared" si="33"/>
        <v>0</v>
      </c>
      <c r="AF73" s="59">
        <f t="shared" si="33"/>
        <v>0</v>
      </c>
      <c r="AG73" s="59">
        <f t="shared" si="33"/>
        <v>0</v>
      </c>
      <c r="AH73" s="59">
        <f t="shared" si="33"/>
        <v>0</v>
      </c>
      <c r="AJ73">
        <f t="shared" si="30"/>
        <v>0</v>
      </c>
    </row>
    <row r="74" ht="18.75" spans="2:34">
      <c r="B74" s="60"/>
      <c r="E74" s="61"/>
      <c r="F74" s="61"/>
      <c r="G74" s="2"/>
      <c r="H74" s="62"/>
      <c r="I74" s="66" t="s">
        <v>135</v>
      </c>
      <c r="J74" s="62" t="s">
        <v>148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">
        <v>174</v>
      </c>
      <c r="AB74" s="2"/>
      <c r="AC74" s="2"/>
      <c r="AD74" s="2"/>
      <c r="AE74" s="2"/>
      <c r="AF74" s="2"/>
      <c r="AG74" s="2"/>
      <c r="AH74" s="2"/>
    </row>
    <row r="75" ht="18" spans="5:27">
      <c r="E75" s="62"/>
      <c r="I75" s="67" t="s">
        <v>135</v>
      </c>
      <c r="J75" s="62" t="s">
        <v>149</v>
      </c>
      <c r="AA75" t="s">
        <v>175</v>
      </c>
    </row>
    <row r="76" s="2" customFormat="1" ht="18.75" spans="3:40">
      <c r="C76" s="63" t="s">
        <v>147</v>
      </c>
      <c r="D76" s="63"/>
      <c r="E76" s="64"/>
      <c r="F76" s="64"/>
      <c r="G76"/>
      <c r="H76" s="3"/>
      <c r="I76" s="68"/>
      <c r="J76" s="62" t="s">
        <v>151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N76" s="63"/>
    </row>
    <row r="77" ht="18" spans="2:4">
      <c r="B77" s="61"/>
      <c r="C77" s="61"/>
      <c r="D77" s="61"/>
    </row>
    <row r="78" ht="21" spans="2:4">
      <c r="B78" s="65"/>
      <c r="C78" s="63" t="s">
        <v>150</v>
      </c>
      <c r="D78" s="63"/>
    </row>
    <row r="79" ht="18" spans="2:4">
      <c r="B79" s="64"/>
      <c r="C79" s="64"/>
      <c r="D79" s="64"/>
    </row>
  </sheetData>
  <mergeCells count="95">
    <mergeCell ref="A1:AE1"/>
    <mergeCell ref="E2:Y2"/>
    <mergeCell ref="Z2:AE2"/>
    <mergeCell ref="E3:G3"/>
    <mergeCell ref="H3:K3"/>
    <mergeCell ref="L3:O3"/>
    <mergeCell ref="P3:S3"/>
    <mergeCell ref="T3:V3"/>
    <mergeCell ref="W3:Y3"/>
    <mergeCell ref="B4:C4"/>
    <mergeCell ref="B5:C5"/>
    <mergeCell ref="B6:C6"/>
    <mergeCell ref="B7:C7"/>
    <mergeCell ref="B8:C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E52:G52"/>
    <mergeCell ref="H52:J52"/>
    <mergeCell ref="K52:M52"/>
    <mergeCell ref="N52:P52"/>
    <mergeCell ref="Q52:S52"/>
    <mergeCell ref="T52:V52"/>
    <mergeCell ref="W52:Y52"/>
    <mergeCell ref="Z52:AB52"/>
    <mergeCell ref="AC52:AE52"/>
    <mergeCell ref="AF52:AH52"/>
    <mergeCell ref="AI52:AK52"/>
    <mergeCell ref="E74:F74"/>
    <mergeCell ref="E76:F76"/>
    <mergeCell ref="B77:C77"/>
    <mergeCell ref="B79:C79"/>
    <mergeCell ref="A2:A10"/>
    <mergeCell ref="E4:E10"/>
    <mergeCell ref="F4:F10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R4:R10"/>
    <mergeCell ref="S4:S10"/>
    <mergeCell ref="T4:T10"/>
    <mergeCell ref="U4:U10"/>
    <mergeCell ref="V4:V10"/>
    <mergeCell ref="W4:W10"/>
    <mergeCell ref="X4:X10"/>
    <mergeCell ref="Y4:Y10"/>
    <mergeCell ref="Z3:Z10"/>
    <mergeCell ref="AA3:AA10"/>
    <mergeCell ref="AB3:AB10"/>
    <mergeCell ref="AC3:AC10"/>
    <mergeCell ref="AD3:AD10"/>
    <mergeCell ref="AE3:AE10"/>
    <mergeCell ref="AF3:AF10"/>
    <mergeCell ref="AG3:AG10"/>
    <mergeCell ref="AH3:AH10"/>
    <mergeCell ref="B50:C52"/>
    <mergeCell ref="B9:C10"/>
  </mergeCells>
  <conditionalFormatting sqref="F42">
    <cfRule type="cellIs" dxfId="0" priority="13" stopIfTrue="1" operator="lessThan">
      <formula>11</formula>
    </cfRule>
    <cfRule type="cellIs" dxfId="1" priority="14" stopIfTrue="1" operator="greaterThan">
      <formula>10</formula>
    </cfRule>
    <cfRule type="cellIs" dxfId="2" priority="15" stopIfTrue="1" operator="lessThan">
      <formula>11</formula>
    </cfRule>
  </conditionalFormatting>
  <conditionalFormatting sqref="M42:N42">
    <cfRule type="cellIs" dxfId="0" priority="16" stopIfTrue="1" operator="lessThan">
      <formula>11</formula>
    </cfRule>
    <cfRule type="cellIs" dxfId="1" priority="17" stopIfTrue="1" operator="greaterThan">
      <formula>10</formula>
    </cfRule>
    <cfRule type="cellIs" dxfId="2" priority="18" stopIfTrue="1" operator="lessThan">
      <formula>11</formula>
    </cfRule>
  </conditionalFormatting>
  <conditionalFormatting sqref="X11:X43">
    <cfRule type="cellIs" dxfId="0" priority="37" stopIfTrue="1" operator="lessThan">
      <formula>11</formula>
    </cfRule>
    <cfRule type="cellIs" dxfId="1" priority="38" stopIfTrue="1" operator="greaterThan">
      <formula>10</formula>
    </cfRule>
    <cfRule type="cellIs" dxfId="2" priority="39" stopIfTrue="1" operator="lessThan">
      <formula>11</formula>
    </cfRule>
  </conditionalFormatting>
  <conditionalFormatting sqref="Y11:Y43">
    <cfRule type="cellIs" dxfId="3" priority="19" stopIfTrue="1" operator="lessThan">
      <formula>11</formula>
    </cfRule>
    <cfRule type="cellIs" dxfId="1" priority="20" stopIfTrue="1" operator="greaterThan">
      <formula>10</formula>
    </cfRule>
    <cfRule type="cellIs" dxfId="2" priority="21" stopIfTrue="1" operator="lessThan">
      <formula>11</formula>
    </cfRule>
  </conditionalFormatting>
  <conditionalFormatting sqref="Y13:Y43">
    <cfRule type="cellIs" dxfId="3" priority="22" stopIfTrue="1" operator="lessThan">
      <formula>11</formula>
    </cfRule>
    <cfRule type="cellIs" dxfId="1" priority="23" stopIfTrue="1" operator="greaterThan">
      <formula>10</formula>
    </cfRule>
    <cfRule type="cellIs" dxfId="2" priority="24" stopIfTrue="1" operator="lessThan">
      <formula>11</formula>
    </cfRule>
  </conditionalFormatting>
  <conditionalFormatting sqref="H11:K43">
    <cfRule type="cellIs" dxfId="0" priority="28" stopIfTrue="1" operator="lessThan">
      <formula>11</formula>
    </cfRule>
    <cfRule type="cellIs" dxfId="1" priority="29" stopIfTrue="1" operator="greaterThan">
      <formula>10</formula>
    </cfRule>
    <cfRule type="cellIs" dxfId="2" priority="30" stopIfTrue="1" operator="lessThan">
      <formula>11</formula>
    </cfRule>
  </conditionalFormatting>
  <conditionalFormatting sqref="W11:X43">
    <cfRule type="cellIs" dxfId="0" priority="31" stopIfTrue="1" operator="lessThan">
      <formula>11</formula>
    </cfRule>
    <cfRule type="cellIs" dxfId="1" priority="32" stopIfTrue="1" operator="greaterThan">
      <formula>10</formula>
    </cfRule>
    <cfRule type="cellIs" dxfId="2" priority="33" stopIfTrue="1" operator="lessThan">
      <formula>11</formula>
    </cfRule>
  </conditionalFormatting>
  <conditionalFormatting sqref="Z11:AH43">
    <cfRule type="cellIs" dxfId="1" priority="1" stopIfTrue="1" operator="greaterThan">
      <formula>10</formula>
    </cfRule>
    <cfRule type="cellIs" dxfId="4" priority="2" stopIfTrue="1" operator="lessThanOrEqual">
      <formula>10.9</formula>
    </cfRule>
  </conditionalFormatting>
  <printOptions horizontalCentered="1"/>
  <pageMargins left="0.31496062992126" right="0.31496062992126" top="0.748031496062992" bottom="0.748031496062992" header="0.31496062992126" footer="0.31496062992126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RELACION GENERAL</vt:lpstr>
      <vt:lpstr>3D-B-1-ASIST</vt:lpstr>
      <vt:lpstr>5I-1ER-B-ASIST</vt:lpstr>
      <vt:lpstr>5R-1ER-B-ASIST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soria quispe</dc:creator>
  <cp:lastModifiedBy>julio soria</cp:lastModifiedBy>
  <dcterms:created xsi:type="dcterms:W3CDTF">2021-11-26T12:42:00Z</dcterms:created>
  <dcterms:modified xsi:type="dcterms:W3CDTF">2025-07-25T04:00:42Z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E6024168995A463C948436CB309F7805_13</vt:lpwstr>
  </property>
  <property fmtid="{D5CDD505-2E9C-101B-9397-08002B2CF9AE}" pid="3" name="KSOProductBuildVer">
    <vt:lpwstr>3082-12.2.0.21931</vt:lpwstr>
  </property>
</Properties>
</file>