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2375" firstSheet="3" activeTab="6"/>
  </bookViews>
  <sheets>
    <sheet name="RELACION ESTUDIANTES - 2022" sheetId="4" r:id="rId1"/>
    <sheet name="3RO-D" sheetId="3" r:id="rId2"/>
    <sheet name="3RO-D-1B-FINAL" sheetId="2" r:id="rId3"/>
    <sheet name="5TO-I" sheetId="5" r:id="rId4"/>
    <sheet name="5TO-I-1B-FINAL" sheetId="1" r:id="rId5"/>
    <sheet name="5TO-R" sheetId="6" r:id="rId6"/>
    <sheet name="5TO-R-1B-FINAL" sheetId="7" r:id="rId7"/>
    <sheet name="plataforma-3er" sheetId="8" r:id="rId8"/>
    <sheet name="Hoja2" sheetId="9" r:id="rId9"/>
    <sheet name="Hoja10" sheetId="10" r:id="rId10"/>
    <sheet name="Hoja11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julio cesar soria quispe</author>
  </authors>
  <commentList>
    <comment ref="AH34" authorId="0">
      <text>
        <r>
          <rPr>
            <b/>
            <sz val="9"/>
            <rFont val="Tahoma"/>
            <charset val="134"/>
          </rPr>
          <t>julio cesar soria quispe:</t>
        </r>
        <r>
          <rPr>
            <sz val="9"/>
            <rFont val="Tahoma"/>
            <charset val="134"/>
          </rPr>
          <t xml:space="preserve">
la idea es muy general y no esta de acuerdo a los pasos previos -- no realizo el paso previo</t>
        </r>
      </text>
    </comment>
  </commentList>
</comments>
</file>

<file path=xl/comments2.xml><?xml version="1.0" encoding="utf-8"?>
<comments xmlns="http://schemas.openxmlformats.org/spreadsheetml/2006/main">
  <authors>
    <author>julio cesar soria quispe</author>
  </authors>
  <commentList>
    <comment ref="AJ34" authorId="0">
      <text>
        <r>
          <rPr>
            <b/>
            <sz val="9"/>
            <rFont val="Tahoma"/>
            <charset val="134"/>
          </rPr>
          <t>julio cesar soria quispe:</t>
        </r>
        <r>
          <rPr>
            <sz val="9"/>
            <rFont val="Tahoma"/>
            <charset val="134"/>
          </rPr>
          <t xml:space="preserve">
la idea es muy general y no esta de acuerdo a los pasos previos -- no realizo el paso previo</t>
        </r>
      </text>
    </comment>
  </commentList>
</comments>
</file>

<file path=xl/comments3.xml><?xml version="1.0" encoding="utf-8"?>
<comments xmlns="http://schemas.openxmlformats.org/spreadsheetml/2006/main">
  <authors>
    <author>julio cesar soria quispe</author>
  </authors>
  <commentList>
    <comment ref="AK34" authorId="0">
      <text>
        <r>
          <rPr>
            <b/>
            <sz val="9"/>
            <rFont val="Tahoma"/>
            <charset val="134"/>
          </rPr>
          <t>julio cesar soria quispe:</t>
        </r>
        <r>
          <rPr>
            <sz val="9"/>
            <rFont val="Tahoma"/>
            <charset val="134"/>
          </rPr>
          <t xml:space="preserve">
la idea es muy general y no esta de acuerdo a los pasos previos -- no realizo el paso previo</t>
        </r>
      </text>
    </comment>
  </commentList>
</comments>
</file>

<file path=xl/sharedStrings.xml><?xml version="1.0" encoding="utf-8"?>
<sst xmlns="http://schemas.openxmlformats.org/spreadsheetml/2006/main" count="3770" uniqueCount="350">
  <si>
    <t>PROF. FARFAN - MECANICA DE PRODUCCION</t>
  </si>
  <si>
    <t>PROF. FARFAN - MECANICA DE PROD.</t>
  </si>
  <si>
    <t>PROF.  - COMPUTACION</t>
  </si>
  <si>
    <t>3ro "D"</t>
  </si>
  <si>
    <t>5to "I"</t>
  </si>
  <si>
    <t>5to "R"</t>
  </si>
  <si>
    <t>CASAVILCA ACOSTA YZUHAIM HUGO ALBERTO</t>
  </si>
  <si>
    <t>CALDERON FALCON DORIAM JOSUE</t>
  </si>
  <si>
    <t>APUMAITA GUTIERREZ JULIO LUCIANO</t>
  </si>
  <si>
    <t>APUMAITA GUTIERREZ, JULIO LUCIANO</t>
  </si>
  <si>
    <t>@xyz.com</t>
  </si>
  <si>
    <t>CASTRO VARGAS JHORDAN ANDREE WILLIAN</t>
  </si>
  <si>
    <t>CAMPOS PALOMINO MAXIMO NASSIR</t>
  </si>
  <si>
    <t>CABRERA ORTIZ THIAGO ARMANDO</t>
  </si>
  <si>
    <t>CABRERA ORTIZ, THIAGO ARMANDO</t>
  </si>
  <si>
    <t>CONDE GAMBOA JHONATAN RODRIGO</t>
  </si>
  <si>
    <t>CHUQUIZUTA VALENCIA FRANKLIN YAZID</t>
  </si>
  <si>
    <t>CACERES CAHUANA JESUS ANDRES</t>
  </si>
  <si>
    <t>CACERES CAHUANA, JESUS ANDRES</t>
  </si>
  <si>
    <t>CUADROS ZEVALLOS ANGELO DAVID</t>
  </si>
  <si>
    <t>COTAQUISPE GALVEZ YOJAN ANDRES</t>
  </si>
  <si>
    <t>DE LA CRUZ SIGUAS LUIS ALBERTO</t>
  </si>
  <si>
    <t>DE LA CRUZ SIGUAS, LUIS ALBERTO</t>
  </si>
  <si>
    <t>GALINDO HERNANDEZ EMERSON FELIPE</t>
  </si>
  <si>
    <t>HUAMANI PAUCAR LUIS ALFREDO</t>
  </si>
  <si>
    <t>HERNANDEZ PEÑA JOSEPH ANDREE</t>
  </si>
  <si>
    <t>HERNANDEZ PEÑA,  JOSEPH ANDREE</t>
  </si>
  <si>
    <t>HERNANDEZ ENRIQUEZ JARED MIGUEL</t>
  </si>
  <si>
    <t>HUARCAYA BACAS HENRY VICENTE</t>
  </si>
  <si>
    <t>JUAREZ LEGUA VICTOR DANIEL</t>
  </si>
  <si>
    <t>JUAREZ LEGUA, VICTOR DANIEL</t>
  </si>
  <si>
    <t>HERNANDEZ MUNIVE NICOLAS ERNESTO</t>
  </si>
  <si>
    <t>HUAYHUAMEZA LEÑAN DEYVIS</t>
  </si>
  <si>
    <t>MEJIA SIMON VICENTE MISAEL</t>
  </si>
  <si>
    <t>MEJIA SIMON, VICENTE MISAEL</t>
  </si>
  <si>
    <t>NAVAS GOMEZ BENJAMIN HUMBERTO</t>
  </si>
  <si>
    <t>JUSCAMAYTA HUARACC YOSSIMAR BAYRON</t>
  </si>
  <si>
    <t>MEZA CARDENAS FERNANDO ALEXANDER</t>
  </si>
  <si>
    <t>MEZA CARDENAS, FERNANDO ALEXANDER</t>
  </si>
  <si>
    <t>PACHECO ESPILLCO MATIAS DEYAIR</t>
  </si>
  <si>
    <t>LEVANO GALINDO CRISTOPHER ANDRES</t>
  </si>
  <si>
    <t>MISAICO CHAHUAILA JUAN DAVID</t>
  </si>
  <si>
    <t>MISAICO CHAHUAILA, JUAN DAVID</t>
  </si>
  <si>
    <t>RAMIREZ ESCRIBA JHERCY HUSCIEL</t>
  </si>
  <si>
    <t>LINARES ZAPATA CARLOS ALBERTO</t>
  </si>
  <si>
    <t>MUÑOZ QUINTANILLA JACKXEL EDUARDO</t>
  </si>
  <si>
    <t>MUÑOZ QUINTANILLA, JACKXEL EDUARDO</t>
  </si>
  <si>
    <t>SANCHEZ SANTIAGO KALEB MOISES</t>
  </si>
  <si>
    <t>MOZO HUAYRA PEDRO CALEB</t>
  </si>
  <si>
    <t>PEÑA ASCENCIO CESAR LUIS</t>
  </si>
  <si>
    <t>PEÑA ASCENCIO, CESAR LUIS</t>
  </si>
  <si>
    <t>SEGOVIA LICAS DANGELO KENDALL</t>
  </si>
  <si>
    <t>NECOCHEA CASTILLO ANTHONY ORLANDO</t>
  </si>
  <si>
    <t>SOSA FUENTES UBALDO FRANCISCO</t>
  </si>
  <si>
    <t>SOSA FUENTES, UBALDO FRANCISCO</t>
  </si>
  <si>
    <t>VELARDE GONZALEZ MARCOS MIGUEL</t>
  </si>
  <si>
    <t>ÑAÑEZ CARRASQUEL DIEGO ALEJANDRO</t>
  </si>
  <si>
    <t>YARCURI CRISOSTOMO JUAN DIEGO</t>
  </si>
  <si>
    <t>PEREZ MUÑOZ SAMIER ALEJANDRO</t>
  </si>
  <si>
    <t>PICHARDE AQUINO CARLOS GABRIEL</t>
  </si>
  <si>
    <t>VEGA CANALES ALVEYRO CRISTOBAL</t>
  </si>
  <si>
    <t xml:space="preserve">REGISTRO AUXILIAR 2025 - 3ER GRADO </t>
  </si>
  <si>
    <t>3° "D"</t>
  </si>
  <si>
    <t>MES DE MAYO
AREA DE EPT - ACCIONES REALIZADAS
Y SEGUIMIENTO DE ESTUDIANTES</t>
  </si>
  <si>
    <t>MES DE JUNIO
AREA DE EPT - ACCIONES REALIZADAS
Y SEGUIMIENTO DE ESTUDIANTES</t>
  </si>
  <si>
    <t>MES DE JULIO
AREA DE EPT - ACCIONES REALIZADAS
Y SEGUIMIENTO DE ESTUDIANTES</t>
  </si>
  <si>
    <t>N°</t>
  </si>
  <si>
    <t>APELLIDOS Y NOMBRES</t>
  </si>
  <si>
    <t>SEM 11</t>
  </si>
  <si>
    <t>G</t>
  </si>
  <si>
    <t>SEM 12</t>
  </si>
  <si>
    <t>S</t>
  </si>
  <si>
    <t>SEM 13</t>
  </si>
  <si>
    <t>E</t>
  </si>
  <si>
    <t>ASIST.</t>
  </si>
  <si>
    <t>SEM 14</t>
  </si>
  <si>
    <t>F</t>
  </si>
  <si>
    <t>SEM 15</t>
  </si>
  <si>
    <t>J</t>
  </si>
  <si>
    <t>SEM 16</t>
  </si>
  <si>
    <t>K</t>
  </si>
  <si>
    <t>SEM 17</t>
  </si>
  <si>
    <t>L</t>
  </si>
  <si>
    <t>SEM 18</t>
  </si>
  <si>
    <t>O</t>
  </si>
  <si>
    <t>SEM 19</t>
  </si>
  <si>
    <t>T</t>
  </si>
  <si>
    <t>SEM 20</t>
  </si>
  <si>
    <t>ASIST</t>
  </si>
  <si>
    <t>PROM</t>
  </si>
  <si>
    <t>FOLDER</t>
  </si>
  <si>
    <t>CUADENO</t>
  </si>
  <si>
    <t>EXAMEN</t>
  </si>
  <si>
    <t>CARP TRAB</t>
  </si>
  <si>
    <t>CyE</t>
  </si>
  <si>
    <t>PLANO</t>
  </si>
  <si>
    <t>TIEMPO DE LIN</t>
  </si>
  <si>
    <t>LIM-PC</t>
  </si>
  <si>
    <t>DANZA</t>
  </si>
  <si>
    <t>ASISTENCIA</t>
  </si>
  <si>
    <t>AD</t>
  </si>
  <si>
    <t>A</t>
  </si>
  <si>
    <t>B</t>
  </si>
  <si>
    <t xml:space="preserve">DIA </t>
  </si>
  <si>
    <t xml:space="preserve">NO </t>
  </si>
  <si>
    <t>C</t>
  </si>
  <si>
    <t>LAB</t>
  </si>
  <si>
    <t>X5</t>
  </si>
  <si>
    <t>AeC</t>
  </si>
  <si>
    <t>P-C</t>
  </si>
  <si>
    <t>AUDI</t>
  </si>
  <si>
    <t>PRO</t>
  </si>
  <si>
    <t>EVA</t>
  </si>
  <si>
    <t>REC</t>
  </si>
  <si>
    <t>CLASS</t>
  </si>
  <si>
    <t>NAT</t>
  </si>
  <si>
    <t>ESTUDIANTES QUE NO TRABAJARON</t>
  </si>
  <si>
    <t>TOTAL DE ESTUDIANTES</t>
  </si>
  <si>
    <t>REGISTRO AUXILIAR DE EDUCACIÓN PARA EL TRABAJO - ELECTRONICA - 2025 -- 2º BIMESTRE  --  3RO D</t>
  </si>
  <si>
    <t>Nº DE ORDEN</t>
  </si>
  <si>
    <t>I. E.</t>
  </si>
  <si>
    <t>COMPETENCIA: GESTIONA PROYECTOS DE EMPRENDIMIENTO ECONOMICO Y/O SOCIAL</t>
  </si>
  <si>
    <t>Promedio de Capacidades y Actitudes</t>
  </si>
  <si>
    <t>PROMEDIO BIMESTRAL</t>
  </si>
  <si>
    <t>"SAN LUIS GONZAGA"</t>
  </si>
  <si>
    <t>CREA PROPUESTA DE VALOR</t>
  </si>
  <si>
    <t>APLICA HABILIDADES Y TECNICAS</t>
  </si>
  <si>
    <t>TRABAJA COOPERATIVAMENTE PARA LOGRAR OBJETIVOS Y METAS</t>
  </si>
  <si>
    <t>EVALUA LOS RESULTADOS DEL PROYECTO</t>
  </si>
  <si>
    <t>SE DESEMVUELVE EN ENTORNOS VIRTUALES GENERDAS POR LAS TIC</t>
  </si>
  <si>
    <t>GESTIONA SU APRENDIZAJE DE MAERA AUTONOMA</t>
  </si>
  <si>
    <t>PC-1</t>
  </si>
  <si>
    <t>PC-2</t>
  </si>
  <si>
    <t>PC-3</t>
  </si>
  <si>
    <t>PC-4</t>
  </si>
  <si>
    <t>PC-5</t>
  </si>
  <si>
    <t>PC-6</t>
  </si>
  <si>
    <t>Se desenvuelve en entornos virtuales generados por las TIC</t>
  </si>
  <si>
    <t>ESPECIALIDAD: ELECTRONICA</t>
  </si>
  <si>
    <t xml:space="preserve">Crea propuestas de valor de un proyecto de meprendimiento economico o social orientado a la especialidad para el concuros Crea y Emprende; asi mismo conoce y cumple las normas de convivencia y seguridad y riesgo electrico </t>
  </si>
  <si>
    <t xml:space="preserve">Crea propuestas de valor que apoyen su economia familira siguiendo los pasos y reconmendaciones de Design Thinking  aplicando fundamento de electronica mediante proyectos aplicativos </t>
  </si>
  <si>
    <t>Planifica su desarrollo de portafolio para el concuros interno de Crea y Emprende realizando actividades varias: Organiza el equipo de trabajo, implementa un diagrama de Gantt, etc.</t>
  </si>
  <si>
    <t xml:space="preserve">   PROMEDIO C-1</t>
  </si>
  <si>
    <t>Aplica e implementa acciones que le ayuden a reconocer circuitos y sistemas electronicos de un robot seguidor de linea o de luz</t>
  </si>
  <si>
    <t>Ejecuta actividades donde identifique las Leyes y principos de la electronica y circuitos electricos y electronicos básicos y los aplique en su proyecto electronico un juguete robotico con dispositivos electronicos</t>
  </si>
  <si>
    <t xml:space="preserve">Implementa el prototipo del sistemas electronico de un robot seguidor de linea o de luz. </t>
  </si>
  <si>
    <t xml:space="preserve">   PROMEDIO C-2</t>
  </si>
  <si>
    <t>Trabaja cooperativamente recombinado sus roles y responsabilidades individuales para el logro de la competencia</t>
  </si>
  <si>
    <t xml:space="preserve">Organiza su area de trabajo y autonomia de trabajo para su adecuado desarrollo de habilidades tecnicas en el taller </t>
  </si>
  <si>
    <t xml:space="preserve">   PROMEDIO C-3</t>
  </si>
  <si>
    <t>Implementa tecnicas (malla receptora) optimamente para evaluar su proptotipo y proyecto de meprendimiento</t>
  </si>
  <si>
    <t>Incorpora mejoras innovadoras y creativas en el proyecto basico de emprendimiento orientado a la especialidad de EPT.</t>
  </si>
  <si>
    <t xml:space="preserve">   PROMEDIO C-4</t>
  </si>
  <si>
    <t>Personaliza entornos virtuales seleccionandolos, modificandolos y optimizandolos de acuerdo a sus intereses y actividades</t>
  </si>
  <si>
    <t>Gestiona información del entorno virtual organizandolo y sistematizandolo considerando diferentes procedimientos y formas digitalesde manera etica y pertinenete</t>
  </si>
  <si>
    <t>Interactua en entornos virtuales de manera colaborativa para comunicarse, construir y mantener vinculos según su edad y sus intereses de m,anera segura y coherente</t>
  </si>
  <si>
    <t>Crea objetos virtuales en diversos formatos de manera digital siguiendo procesos de mejora y retroalimentación desde su contexto y vida cotidiana</t>
  </si>
  <si>
    <t xml:space="preserve">   PROMEDIO C-5</t>
  </si>
  <si>
    <t>Define metas de aprendizaje en funcion a sus necesidades para resolver diferentes tareas dadas a fin de logras metas trazadas</t>
  </si>
  <si>
    <t>Organiza acciones estrategicas para alcanzar sus metas de  manra eficiente estableciendo mecanismos para alcanzar sus temas de aprendizaje</t>
  </si>
  <si>
    <t>Monitorea y ajusta su desempeño durante el proceso de aprendizaje verificando su avance en relacion a su metas de aprendizaje de manera pertinente</t>
  </si>
  <si>
    <t xml:space="preserve">   PROMEDIO C-6</t>
  </si>
  <si>
    <t>GRADO Y SECCIÓN: 3 "D"</t>
  </si>
  <si>
    <t>BIMESTRE:      II</t>
  </si>
  <si>
    <t>PROFESOR (A): Julio César</t>
  </si>
  <si>
    <t>SORIA QUISPE</t>
  </si>
  <si>
    <t>01</t>
  </si>
  <si>
    <t>02</t>
  </si>
  <si>
    <t>RESUMEN - Iv BIMESTRE</t>
  </si>
  <si>
    <t>03</t>
  </si>
  <si>
    <t>Nº</t>
  </si>
  <si>
    <t>%</t>
  </si>
  <si>
    <t>04</t>
  </si>
  <si>
    <t xml:space="preserve">EVALUADOS </t>
  </si>
  <si>
    <t>05</t>
  </si>
  <si>
    <t>RETIRADO POR INASISTENCIA CON MAS DE 80 % -- RD ----</t>
  </si>
  <si>
    <t>06</t>
  </si>
  <si>
    <t>07</t>
  </si>
  <si>
    <t>08</t>
  </si>
  <si>
    <t>09</t>
  </si>
  <si>
    <t>NO ASISTEN</t>
  </si>
  <si>
    <t>10</t>
  </si>
  <si>
    <t>EXO</t>
  </si>
  <si>
    <t>11</t>
  </si>
  <si>
    <t>TRASLAD. (T)</t>
  </si>
  <si>
    <t>12</t>
  </si>
  <si>
    <t xml:space="preserve">RETIRAD. (R) 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</si>
  <si>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</si>
  <si>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</si>
  <si>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</si>
  <si>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</si>
  <si>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</si>
  <si>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</si>
  <si>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</si>
  <si>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</si>
  <si>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</si>
  <si>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</si>
  <si>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</si>
  <si>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</si>
  <si>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</si>
  <si>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</si>
  <si>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</si>
  <si>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</si>
  <si>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</si>
  <si>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</si>
  <si>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</si>
  <si>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</si>
  <si>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</si>
  <si>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</si>
  <si>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</si>
  <si>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 xml:space="preserve">REGISTRO AUXILIAR 2025 - 5TO GRADO </t>
  </si>
  <si>
    <t>5° "I"</t>
  </si>
  <si>
    <t>PROYEC</t>
  </si>
  <si>
    <t>ZENER</t>
  </si>
  <si>
    <t>PRACT-01</t>
  </si>
  <si>
    <t>PRAC-02</t>
  </si>
  <si>
    <t>PRACT-03</t>
  </si>
  <si>
    <t>PROY-1</t>
  </si>
  <si>
    <t>PROY-2</t>
  </si>
  <si>
    <t>PROY-3</t>
  </si>
  <si>
    <t>PROY¿2</t>
  </si>
  <si>
    <t>PRAC</t>
  </si>
  <si>
    <t>PRAC04</t>
  </si>
  <si>
    <t>PROY-01</t>
  </si>
  <si>
    <t>PROY-02</t>
  </si>
  <si>
    <t>PROY-03</t>
  </si>
  <si>
    <t>CYE</t>
  </si>
  <si>
    <t>CAR TRAB</t>
  </si>
  <si>
    <t>PROY-INDV</t>
  </si>
  <si>
    <t>DIA</t>
  </si>
  <si>
    <t>DEL</t>
  </si>
  <si>
    <t>LOGRO</t>
  </si>
  <si>
    <t>VD</t>
  </si>
  <si>
    <t>VID</t>
  </si>
  <si>
    <t>PRE</t>
  </si>
  <si>
    <t>RE</t>
  </si>
  <si>
    <t>EM</t>
  </si>
  <si>
    <t>COMO</t>
  </si>
  <si>
    <t>IMG</t>
  </si>
  <si>
    <t>SINT</t>
  </si>
  <si>
    <t>PODRI</t>
  </si>
  <si>
    <t>IDEAS</t>
  </si>
  <si>
    <t>MEJOR</t>
  </si>
  <si>
    <t>IDEA</t>
  </si>
  <si>
    <t>INF</t>
  </si>
  <si>
    <t>REGISTRO AUXILIAR DE EDUCACIÓN PARA EL TRABAJO - ELECTRONICA - 2025 -- 2º BIMESTRE  --  5TO I</t>
  </si>
  <si>
    <t>Aplica e implementa acciones que le ayuden a reconocer circuitos y sistemas electronicos de seguridad para hogares y otros establecimientos pequeños comerciales</t>
  </si>
  <si>
    <t xml:space="preserve">Ejecuta actividades donde identifique las Leyes y principos de la electronica y circuitos electricos y electronicos básicos y los aplique en su proyecto electronico sistema de seguridad </t>
  </si>
  <si>
    <t xml:space="preserve">Implementa el prototipo del sistemas de  seguridad para hogares y pequeños negocios </t>
  </si>
  <si>
    <t xml:space="preserve">Organiza su area de trabajo y auyonomia de trabajo para su adecuado desarrollo de ahabilidades tecnicas en el taller </t>
  </si>
  <si>
    <t>GRADO Y SECCIÓN: 5 I</t>
  </si>
  <si>
    <t xml:space="preserve"> C</t>
  </si>
  <si>
    <t xml:space="preserve"> </t>
  </si>
  <si>
    <t>5° "R"</t>
  </si>
  <si>
    <t>MES DE MARYO
AREA DE EPT - ACCIONES REALIZADAS
Y SEGUIMIENTO DE ESTUDIANTES</t>
  </si>
  <si>
    <t>APOYO REYNADO</t>
  </si>
  <si>
    <t>PROY</t>
  </si>
  <si>
    <t>CUADERNO</t>
  </si>
  <si>
    <t>APOY. ANIV. REYNADO</t>
  </si>
  <si>
    <t>EXAM</t>
  </si>
  <si>
    <t>LEY DE CORR KIR</t>
  </si>
  <si>
    <t>DIAG-FLUJO-ALARM</t>
  </si>
  <si>
    <t>FIC A2-A3</t>
  </si>
  <si>
    <t>carpeta traba</t>
  </si>
  <si>
    <t>folder</t>
  </si>
  <si>
    <t>PROY. 04</t>
  </si>
  <si>
    <t>NO</t>
  </si>
  <si>
    <t>ANIV</t>
  </si>
  <si>
    <t xml:space="preserve"> B</t>
  </si>
  <si>
    <t>X3</t>
  </si>
  <si>
    <t xml:space="preserve">DEL </t>
  </si>
  <si>
    <t>POV</t>
  </si>
  <si>
    <t>POD</t>
  </si>
  <si>
    <t>REGISTRO AUXILIAR DE EDUCACIÓN PARA EL TRABAJO - ELECTRONICA - 2025  -- 2º BIMESTRE  -- 5TO R</t>
  </si>
  <si>
    <t>COMPETENCIA: GESTIONA PROYECTOS DE EMPRENDIMIENTO ECONOMICO O SOCIAL</t>
  </si>
  <si>
    <t>GRADO Y SECCIÓN: 5 R</t>
  </si>
  <si>
    <t>username</t>
  </si>
  <si>
    <t>password</t>
  </si>
  <si>
    <t>firstname</t>
  </si>
  <si>
    <t>lastname</t>
  </si>
  <si>
    <t>email</t>
  </si>
  <si>
    <t xml:space="preserve">peberrocal </t>
  </si>
  <si>
    <t>*Slg2025</t>
  </si>
  <si>
    <t xml:space="preserve">pedro </t>
  </si>
  <si>
    <t xml:space="preserve">berrocal </t>
  </si>
  <si>
    <t>peberrocal@xyz.com</t>
  </si>
  <si>
    <t xml:space="preserve">alchavez </t>
  </si>
  <si>
    <t xml:space="preserve">alejandro </t>
  </si>
  <si>
    <t xml:space="preserve">chavez </t>
  </si>
  <si>
    <t>alchavez@xyz.com</t>
  </si>
  <si>
    <t xml:space="preserve">emechegaray </t>
  </si>
  <si>
    <t xml:space="preserve">emanuel </t>
  </si>
  <si>
    <t xml:space="preserve">echegaray </t>
  </si>
  <si>
    <t>emechegaray@xyz.com</t>
  </si>
  <si>
    <t xml:space="preserve">erencalada </t>
  </si>
  <si>
    <t xml:space="preserve">erick </t>
  </si>
  <si>
    <t xml:space="preserve">encalada </t>
  </si>
  <si>
    <t>erencalada@xyz.com</t>
  </si>
  <si>
    <t xml:space="preserve">piespino </t>
  </si>
  <si>
    <t xml:space="preserve">piero </t>
  </si>
  <si>
    <t xml:space="preserve">espino </t>
  </si>
  <si>
    <t>piespino@xyz.com</t>
  </si>
  <si>
    <t xml:space="preserve">feespino </t>
  </si>
  <si>
    <t xml:space="preserve">fernando </t>
  </si>
  <si>
    <t>feespino@xyz.com</t>
  </si>
  <si>
    <t xml:space="preserve">jeevanan </t>
  </si>
  <si>
    <t xml:space="preserve">jesus </t>
  </si>
  <si>
    <t xml:space="preserve">evanan </t>
  </si>
  <si>
    <t>jeevanan@xyz.com</t>
  </si>
  <si>
    <t xml:space="preserve">lehernandez </t>
  </si>
  <si>
    <t xml:space="preserve">leonardo </t>
  </si>
  <si>
    <t xml:space="preserve">hernandez </t>
  </si>
  <si>
    <t>lehernandez@xyz.com</t>
  </si>
  <si>
    <t xml:space="preserve">luluna </t>
  </si>
  <si>
    <t xml:space="preserve">luis </t>
  </si>
  <si>
    <t xml:space="preserve">luna </t>
  </si>
  <si>
    <t>luluna@xyz.com</t>
  </si>
  <si>
    <t xml:space="preserve">lumozo </t>
  </si>
  <si>
    <t xml:space="preserve">mozo </t>
  </si>
  <si>
    <t>lumozo@xyz.com</t>
  </si>
  <si>
    <t xml:space="preserve">juramirez </t>
  </si>
  <si>
    <t xml:space="preserve">juan </t>
  </si>
  <si>
    <t xml:space="preserve">ramirez </t>
  </si>
  <si>
    <t>juramirez@xyz.com</t>
  </si>
  <si>
    <t xml:space="preserve">wirejas </t>
  </si>
  <si>
    <t xml:space="preserve">wilfredo </t>
  </si>
  <si>
    <t xml:space="preserve">rejas </t>
  </si>
  <si>
    <t>wirejas@xyz.com</t>
  </si>
  <si>
    <t xml:space="preserve">rorevatta </t>
  </si>
  <si>
    <t xml:space="preserve">rovihet </t>
  </si>
  <si>
    <t xml:space="preserve">revatta </t>
  </si>
  <si>
    <t>rorevatta@xyz.com</t>
  </si>
  <si>
    <t xml:space="preserve">larevatta </t>
  </si>
  <si>
    <t xml:space="preserve">layonel </t>
  </si>
  <si>
    <t>larevatta@xyz.com</t>
  </si>
  <si>
    <t xml:space="preserve">gusiguas </t>
  </si>
  <si>
    <t xml:space="preserve">guillermo </t>
  </si>
  <si>
    <t xml:space="preserve">siguas </t>
  </si>
  <si>
    <t>gusiguas@xyz.com</t>
  </si>
  <si>
    <t xml:space="preserve">ketoledo </t>
  </si>
  <si>
    <t xml:space="preserve">kevin </t>
  </si>
  <si>
    <t xml:space="preserve">toledo </t>
  </si>
  <si>
    <t>ketoledo@xyz.com</t>
  </si>
  <si>
    <t xml:space="preserve">kevallejos </t>
  </si>
  <si>
    <t xml:space="preserve">vallejos </t>
  </si>
  <si>
    <t>kevallejos@xyz.com</t>
  </si>
  <si>
    <t xml:space="preserve">vivasquez </t>
  </si>
  <si>
    <t xml:space="preserve">victor </t>
  </si>
  <si>
    <t xml:space="preserve">vasquez </t>
  </si>
  <si>
    <t>vivasquez@xyz.com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</si>
</sst>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  <numFmt numFmtId="178" formatCode="0#"/>
    <numFmt numFmtId="179" formatCode="0.0"/>
  </numFmts>
  <fonts count="60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theme="10"/>
      <name val="Calibri"/>
      <charset val="134"/>
      <scheme val="minor"/>
    </font>
    <font>
      <sz val="7"/>
      <name val="Arial"/>
      <charset val="134"/>
    </font>
    <font>
      <b/>
      <sz val="18"/>
      <name val="Arial"/>
      <charset val="134"/>
    </font>
    <font>
      <b/>
      <sz val="8"/>
      <name val="Arial"/>
      <charset val="134"/>
    </font>
    <font>
      <b/>
      <sz val="9"/>
      <name val="Arial"/>
      <charset val="134"/>
    </font>
    <font>
      <sz val="8"/>
      <name val="Arial"/>
      <charset val="134"/>
    </font>
    <font>
      <b/>
      <sz val="7"/>
      <name val="Arial"/>
      <charset val="134"/>
    </font>
    <font>
      <sz val="9"/>
      <name val="Arial"/>
      <charset val="134"/>
    </font>
    <font>
      <sz val="10"/>
      <name val="Arial"/>
      <charset val="134"/>
    </font>
    <font>
      <b/>
      <sz val="10"/>
      <name val="Arial"/>
      <charset val="134"/>
    </font>
    <font>
      <sz val="11"/>
      <name val="Calibri"/>
      <charset val="134"/>
      <scheme val="minor"/>
    </font>
    <font>
      <sz val="6"/>
      <name val="Arial"/>
      <charset val="134"/>
    </font>
    <font>
      <i/>
      <sz val="10"/>
      <color rgb="FF2F5496"/>
      <name val="Arial Narrow"/>
      <charset val="134"/>
    </font>
    <font>
      <sz val="11"/>
      <color theme="1"/>
      <name val="Calibri"/>
      <charset val="134"/>
    </font>
    <font>
      <sz val="9"/>
      <color theme="1"/>
      <name val="Arial"/>
      <charset val="134"/>
    </font>
    <font>
      <sz val="11"/>
      <color rgb="FF000000"/>
      <name val="Calibri"/>
      <charset val="134"/>
      <scheme val="minor"/>
    </font>
    <font>
      <b/>
      <sz val="42"/>
      <color theme="1"/>
      <name val="Calibri"/>
      <charset val="134"/>
      <scheme val="minor"/>
    </font>
    <font>
      <b/>
      <sz val="26"/>
      <name val="Arial"/>
      <charset val="134"/>
    </font>
    <font>
      <b/>
      <sz val="11"/>
      <color theme="1"/>
      <name val="Calibri"/>
      <charset val="134"/>
      <scheme val="minor"/>
    </font>
    <font>
      <b/>
      <sz val="8"/>
      <color theme="1"/>
      <name val="Calibri"/>
      <charset val="134"/>
      <scheme val="minor"/>
    </font>
    <font>
      <b/>
      <sz val="8"/>
      <color theme="0"/>
      <name val="Calibri"/>
      <charset val="134"/>
      <scheme val="minor"/>
    </font>
    <font>
      <sz val="9"/>
      <color rgb="FF000000"/>
      <name val="Arial"/>
      <charset val="134"/>
    </font>
    <font>
      <sz val="8"/>
      <color rgb="FF000000"/>
      <name val="Arial"/>
      <charset val="134"/>
    </font>
    <font>
      <b/>
      <sz val="8"/>
      <color rgb="FFFF00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8"/>
      <color theme="0"/>
      <name val="Arial"/>
      <charset val="134"/>
    </font>
    <font>
      <b/>
      <sz val="8"/>
      <color rgb="FF0070C0"/>
      <name val="Calibri"/>
      <charset val="134"/>
      <scheme val="minor"/>
    </font>
    <font>
      <sz val="8"/>
      <color rgb="FF0070C0"/>
      <name val="Arial"/>
      <charset val="134"/>
    </font>
    <font>
      <sz val="8"/>
      <color theme="1"/>
      <name val="Arial"/>
      <charset val="134"/>
    </font>
    <font>
      <b/>
      <sz val="11"/>
      <color rgb="FFFF0000"/>
      <name val="Calibri"/>
      <charset val="134"/>
      <scheme val="minor"/>
    </font>
    <font>
      <u/>
      <sz val="8"/>
      <name val="Arial"/>
      <charset val="134"/>
    </font>
    <font>
      <b/>
      <sz val="36"/>
      <color theme="1"/>
      <name val="Calibri"/>
      <charset val="134"/>
      <scheme val="minor"/>
    </font>
    <font>
      <b/>
      <sz val="16"/>
      <name val="Arial"/>
      <charset val="134"/>
    </font>
    <font>
      <sz val="11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sz val="14"/>
      <color theme="1"/>
      <name val="Calibri"/>
      <charset val="134"/>
      <scheme val="minor"/>
    </font>
    <font>
      <sz val="11"/>
      <color rgb="FFFFFFFF"/>
      <name val="Calibri"/>
      <charset val="134"/>
      <scheme val="minor"/>
    </font>
    <font>
      <sz val="11"/>
      <color theme="1"/>
      <name val="Calibri Light"/>
      <charset val="134"/>
      <scheme val="maj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ahoma"/>
      <charset val="134"/>
    </font>
    <font>
      <sz val="9"/>
      <name val="Tahoma"/>
      <charset val="134"/>
    </font>
  </fonts>
  <fills count="5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4"/>
        <bgColor indexed="46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0" tint="-0.1498153630176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61A8D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71FBC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 tint="0.39979247413556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79857783745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5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indexed="8"/>
      </bottom>
      <diagonal/>
    </border>
    <border>
      <left style="medium">
        <color auto="1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auto="1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center"/>
    </xf>
    <xf numFmtId="0" fontId="0" fillId="30" borderId="49" applyNumberFormat="0" applyFon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6" fillId="0" borderId="51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31" borderId="52" applyNumberFormat="0" applyAlignment="0" applyProtection="0">
      <alignment vertical="center"/>
    </xf>
    <xf numFmtId="0" fontId="48" fillId="32" borderId="53" applyNumberFormat="0" applyAlignment="0" applyProtection="0">
      <alignment vertical="center"/>
    </xf>
    <xf numFmtId="0" fontId="49" fillId="32" borderId="52" applyNumberFormat="0" applyAlignment="0" applyProtection="0">
      <alignment vertical="center"/>
    </xf>
    <xf numFmtId="0" fontId="50" fillId="33" borderId="54" applyNumberFormat="0" applyAlignment="0" applyProtection="0">
      <alignment vertical="center"/>
    </xf>
    <xf numFmtId="0" fontId="51" fillId="0" borderId="55" applyNumberFormat="0" applyFill="0" applyAlignment="0" applyProtection="0">
      <alignment vertical="center"/>
    </xf>
    <xf numFmtId="0" fontId="52" fillId="0" borderId="56" applyNumberFormat="0" applyFill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4" fillId="35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6" fillId="37" borderId="0" applyNumberFormat="0" applyBorder="0" applyAlignment="0" applyProtection="0">
      <alignment vertical="center"/>
    </xf>
    <xf numFmtId="0" fontId="57" fillId="38" borderId="0" applyNumberFormat="0" applyBorder="0" applyAlignment="0" applyProtection="0">
      <alignment vertical="center"/>
    </xf>
    <xf numFmtId="0" fontId="57" fillId="39" borderId="0" applyNumberFormat="0" applyBorder="0" applyAlignment="0" applyProtection="0">
      <alignment vertical="center"/>
    </xf>
    <xf numFmtId="0" fontId="56" fillId="40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7" fillId="42" borderId="0" applyNumberFormat="0" applyBorder="0" applyAlignment="0" applyProtection="0">
      <alignment vertical="center"/>
    </xf>
    <xf numFmtId="0" fontId="57" fillId="43" borderId="0" applyNumberFormat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7" fillId="46" borderId="0" applyNumberFormat="0" applyBorder="0" applyAlignment="0" applyProtection="0">
      <alignment vertical="center"/>
    </xf>
    <xf numFmtId="0" fontId="57" fillId="47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57" fillId="50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7" fillId="52" borderId="0" applyNumberFormat="0" applyBorder="0" applyAlignment="0" applyProtection="0">
      <alignment vertical="center"/>
    </xf>
    <xf numFmtId="0" fontId="57" fillId="53" borderId="0" applyNumberFormat="0" applyBorder="0" applyAlignment="0" applyProtection="0">
      <alignment vertical="center"/>
    </xf>
    <xf numFmtId="0" fontId="56" fillId="54" borderId="0" applyNumberFormat="0" applyBorder="0" applyAlignment="0" applyProtection="0">
      <alignment vertical="center"/>
    </xf>
    <xf numFmtId="0" fontId="56" fillId="55" borderId="0" applyNumberFormat="0" applyBorder="0" applyAlignment="0" applyProtection="0">
      <alignment vertical="center"/>
    </xf>
    <xf numFmtId="0" fontId="57" fillId="56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6" fillId="57" borderId="0" applyNumberFormat="0" applyBorder="0" applyAlignment="0" applyProtection="0">
      <alignment vertical="center"/>
    </xf>
  </cellStyleXfs>
  <cellXfs count="32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2" fillId="0" borderId="4" xfId="6" applyFill="1" applyBorder="1" applyAlignment="1"/>
    <xf numFmtId="0" fontId="3" fillId="0" borderId="0" xfId="0" applyFont="1"/>
    <xf numFmtId="0" fontId="4" fillId="0" borderId="5" xfId="0" applyFont="1" applyBorder="1" applyAlignment="1">
      <alignment horizontal="center"/>
    </xf>
    <xf numFmtId="0" fontId="0" fillId="0" borderId="6" xfId="0" applyBorder="1" applyAlignment="1">
      <alignment horizontal="center" vertical="center" textRotation="90"/>
    </xf>
    <xf numFmtId="0" fontId="5" fillId="0" borderId="7" xfId="0" applyFont="1" applyBorder="1"/>
    <xf numFmtId="0" fontId="5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0" fillId="0" borderId="11" xfId="0" applyBorder="1"/>
    <xf numFmtId="0" fontId="7" fillId="0" borderId="12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left"/>
    </xf>
    <xf numFmtId="0" fontId="9" fillId="0" borderId="11" xfId="0" applyFont="1" applyBorder="1" applyAlignment="1">
      <alignment horizontal="left"/>
    </xf>
    <xf numFmtId="0" fontId="3" fillId="0" borderId="15" xfId="0" applyFont="1" applyBorder="1" applyAlignment="1">
      <alignment horizontal="center" vertical="center" textRotation="90" wrapText="1"/>
    </xf>
    <xf numFmtId="0" fontId="3" fillId="0" borderId="13" xfId="0" applyFont="1" applyBorder="1" applyAlignment="1">
      <alignment horizontal="center" vertical="center" textRotation="90" wrapText="1"/>
    </xf>
    <xf numFmtId="0" fontId="10" fillId="0" borderId="14" xfId="0" applyFont="1" applyBorder="1" applyAlignment="1">
      <alignment horizontal="left"/>
    </xf>
    <xf numFmtId="0" fontId="10" fillId="0" borderId="11" xfId="0" applyFont="1" applyBorder="1" applyAlignment="1">
      <alignment horizontal="left"/>
    </xf>
    <xf numFmtId="0" fontId="3" fillId="0" borderId="0" xfId="0" applyFont="1" applyBorder="1" applyAlignment="1">
      <alignment horizontal="center" vertical="center" textRotation="90" wrapText="1"/>
    </xf>
    <xf numFmtId="0" fontId="10" fillId="0" borderId="14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 vertical="center" textRotation="90" wrapText="1"/>
    </xf>
    <xf numFmtId="0" fontId="3" fillId="0" borderId="5" xfId="0" applyFont="1" applyBorder="1" applyAlignment="1">
      <alignment horizontal="center" vertical="center" textRotation="90" wrapText="1"/>
    </xf>
    <xf numFmtId="0" fontId="0" fillId="0" borderId="9" xfId="0" applyBorder="1"/>
    <xf numFmtId="1" fontId="7" fillId="0" borderId="6" xfId="0" applyNumberFormat="1" applyFont="1" applyBorder="1" applyAlignment="1" applyProtection="1">
      <alignment horizontal="left" vertical="center"/>
      <protection locked="0"/>
    </xf>
    <xf numFmtId="1" fontId="7" fillId="0" borderId="9" xfId="0" applyNumberFormat="1" applyFont="1" applyBorder="1" applyAlignment="1" applyProtection="1">
      <alignment horizontal="left" vertical="center"/>
      <protection locked="0"/>
    </xf>
    <xf numFmtId="178" fontId="9" fillId="0" borderId="15" xfId="0" applyNumberFormat="1" applyFont="1" applyBorder="1" applyAlignment="1">
      <alignment horizontal="center"/>
    </xf>
    <xf numFmtId="178" fontId="9" fillId="0" borderId="19" xfId="0" applyNumberFormat="1" applyFont="1" applyBorder="1" applyAlignment="1">
      <alignment horizontal="center"/>
    </xf>
    <xf numFmtId="178" fontId="9" fillId="0" borderId="20" xfId="0" applyNumberFormat="1" applyFont="1" applyBorder="1" applyAlignment="1">
      <alignment horizontal="center"/>
    </xf>
    <xf numFmtId="178" fontId="9" fillId="0" borderId="10" xfId="0" applyNumberFormat="1" applyFont="1" applyBorder="1" applyAlignment="1">
      <alignment horizontal="center"/>
    </xf>
    <xf numFmtId="178" fontId="9" fillId="0" borderId="21" xfId="0" applyNumberFormat="1" applyFont="1" applyBorder="1" applyAlignment="1">
      <alignment horizontal="center"/>
    </xf>
    <xf numFmtId="0" fontId="12" fillId="0" borderId="9" xfId="0" applyFont="1" applyBorder="1"/>
    <xf numFmtId="178" fontId="9" fillId="0" borderId="13" xfId="0" applyNumberFormat="1" applyFont="1" applyBorder="1" applyAlignment="1">
      <alignment horizontal="center"/>
    </xf>
    <xf numFmtId="178" fontId="9" fillId="0" borderId="5" xfId="0" applyNumberFormat="1" applyFont="1" applyBorder="1" applyAlignment="1">
      <alignment horizontal="center"/>
    </xf>
    <xf numFmtId="178" fontId="9" fillId="0" borderId="22" xfId="0" applyNumberFormat="1" applyFont="1" applyBorder="1" applyAlignment="1">
      <alignment horizontal="center"/>
    </xf>
    <xf numFmtId="178" fontId="9" fillId="0" borderId="17" xfId="0" applyNumberFormat="1" applyFont="1" applyBorder="1" applyAlignment="1">
      <alignment horizontal="center"/>
    </xf>
    <xf numFmtId="178" fontId="9" fillId="0" borderId="16" xfId="0" applyNumberFormat="1" applyFont="1" applyBorder="1" applyAlignment="1">
      <alignment horizontal="center"/>
    </xf>
    <xf numFmtId="178" fontId="9" fillId="0" borderId="6" xfId="0" applyNumberFormat="1" applyFont="1" applyBorder="1" applyAlignment="1">
      <alignment horizontal="center"/>
    </xf>
    <xf numFmtId="178" fontId="9" fillId="0" borderId="9" xfId="0" applyNumberFormat="1" applyFont="1" applyBorder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textRotation="90" wrapText="1"/>
    </xf>
    <xf numFmtId="0" fontId="3" fillId="0" borderId="8" xfId="0" applyFont="1" applyBorder="1" applyAlignment="1">
      <alignment horizontal="center" vertical="center" textRotation="90" wrapText="1"/>
    </xf>
    <xf numFmtId="0" fontId="3" fillId="0" borderId="24" xfId="0" applyFont="1" applyBorder="1" applyAlignment="1">
      <alignment horizontal="center" vertical="center" textRotation="90" wrapText="1"/>
    </xf>
    <xf numFmtId="0" fontId="3" fillId="0" borderId="7" xfId="0" applyFont="1" applyBorder="1" applyAlignment="1">
      <alignment horizontal="center" vertical="center" textRotation="90" wrapText="1"/>
    </xf>
    <xf numFmtId="0" fontId="11" fillId="0" borderId="25" xfId="0" applyFont="1" applyBorder="1" applyAlignment="1">
      <alignment horizontal="center" vertical="center" textRotation="90" wrapText="1"/>
    </xf>
    <xf numFmtId="0" fontId="3" fillId="0" borderId="12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3" fillId="0" borderId="11" xfId="0" applyFont="1" applyBorder="1" applyAlignment="1">
      <alignment horizontal="center" vertical="center" textRotation="90" wrapText="1"/>
    </xf>
    <xf numFmtId="0" fontId="3" fillId="0" borderId="26" xfId="0" applyFont="1" applyBorder="1" applyAlignment="1">
      <alignment horizontal="center" vertical="center" textRotation="90" wrapText="1"/>
    </xf>
    <xf numFmtId="0" fontId="3" fillId="0" borderId="16" xfId="0" applyFont="1" applyBorder="1" applyAlignment="1">
      <alignment horizontal="center" vertical="center" textRotation="90" wrapText="1"/>
    </xf>
    <xf numFmtId="0" fontId="3" fillId="0" borderId="17" xfId="0" applyFont="1" applyBorder="1" applyAlignment="1">
      <alignment horizontal="center" vertical="center" textRotation="90" wrapText="1"/>
    </xf>
    <xf numFmtId="178" fontId="6" fillId="0" borderId="27" xfId="0" applyNumberFormat="1" applyFont="1" applyBorder="1" applyAlignment="1">
      <alignment horizontal="center"/>
    </xf>
    <xf numFmtId="178" fontId="6" fillId="0" borderId="28" xfId="0" applyNumberFormat="1" applyFont="1" applyBorder="1" applyAlignment="1">
      <alignment horizontal="center"/>
    </xf>
    <xf numFmtId="178" fontId="9" fillId="0" borderId="7" xfId="0" applyNumberFormat="1" applyFont="1" applyBorder="1" applyAlignment="1">
      <alignment horizontal="center"/>
    </xf>
    <xf numFmtId="178" fontId="6" fillId="0" borderId="29" xfId="0" applyNumberFormat="1" applyFont="1" applyBorder="1" applyAlignment="1">
      <alignment horizontal="center"/>
    </xf>
    <xf numFmtId="178" fontId="9" fillId="0" borderId="30" xfId="0" applyNumberFormat="1" applyFont="1" applyBorder="1" applyAlignment="1">
      <alignment horizontal="center"/>
    </xf>
    <xf numFmtId="178" fontId="6" fillId="0" borderId="31" xfId="0" applyNumberFormat="1" applyFont="1" applyBorder="1" applyAlignment="1">
      <alignment horizontal="center"/>
    </xf>
    <xf numFmtId="178" fontId="9" fillId="0" borderId="26" xfId="0" applyNumberFormat="1" applyFont="1" applyBorder="1" applyAlignment="1">
      <alignment horizontal="center"/>
    </xf>
    <xf numFmtId="178" fontId="9" fillId="0" borderId="32" xfId="0" applyNumberFormat="1" applyFont="1" applyBorder="1" applyAlignment="1">
      <alignment horizontal="center"/>
    </xf>
    <xf numFmtId="178" fontId="9" fillId="0" borderId="28" xfId="0" applyNumberFormat="1" applyFont="1" applyBorder="1" applyAlignment="1">
      <alignment horizontal="center"/>
    </xf>
    <xf numFmtId="178" fontId="9" fillId="0" borderId="33" xfId="0" applyNumberFormat="1" applyFont="1" applyBorder="1" applyAlignment="1">
      <alignment horizontal="center"/>
    </xf>
    <xf numFmtId="178" fontId="9" fillId="0" borderId="31" xfId="0" applyNumberFormat="1" applyFont="1" applyBorder="1" applyAlignment="1">
      <alignment horizontal="center"/>
    </xf>
    <xf numFmtId="0" fontId="8" fillId="2" borderId="10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textRotation="90" wrapText="1"/>
    </xf>
    <xf numFmtId="0" fontId="11" fillId="2" borderId="12" xfId="0" applyFont="1" applyFill="1" applyBorder="1" applyAlignment="1">
      <alignment horizontal="center" vertical="center" textRotation="90" wrapText="1"/>
    </xf>
    <xf numFmtId="0" fontId="11" fillId="2" borderId="26" xfId="0" applyFont="1" applyFill="1" applyBorder="1" applyAlignment="1">
      <alignment horizontal="center" vertical="center" textRotation="90" wrapText="1"/>
    </xf>
    <xf numFmtId="178" fontId="6" fillId="0" borderId="34" xfId="0" applyNumberFormat="1" applyFont="1" applyBorder="1" applyAlignment="1">
      <alignment horizontal="center"/>
    </xf>
    <xf numFmtId="0" fontId="11" fillId="2" borderId="2" xfId="0" applyFont="1" applyFill="1" applyBorder="1" applyAlignment="1">
      <alignment horizontal="center" vertical="center" textRotation="90" wrapText="1"/>
    </xf>
    <xf numFmtId="0" fontId="11" fillId="2" borderId="0" xfId="0" applyFont="1" applyFill="1" applyAlignment="1">
      <alignment horizontal="center" vertical="center" textRotation="90" wrapText="1"/>
    </xf>
    <xf numFmtId="0" fontId="6" fillId="0" borderId="32" xfId="0" applyFont="1" applyBorder="1" applyAlignment="1">
      <alignment horizontal="center" vertical="center" wrapText="1"/>
    </xf>
    <xf numFmtId="178" fontId="9" fillId="0" borderId="27" xfId="0" applyNumberFormat="1" applyFont="1" applyBorder="1" applyAlignment="1">
      <alignment horizontal="center"/>
    </xf>
    <xf numFmtId="178" fontId="9" fillId="0" borderId="29" xfId="0" applyNumberFormat="1" applyFont="1" applyBorder="1" applyAlignment="1">
      <alignment horizontal="center"/>
    </xf>
    <xf numFmtId="178" fontId="9" fillId="0" borderId="34" xfId="0" applyNumberFormat="1" applyFont="1" applyBorder="1" applyAlignment="1">
      <alignment horizontal="center"/>
    </xf>
    <xf numFmtId="178" fontId="9" fillId="0" borderId="1" xfId="0" applyNumberFormat="1" applyFont="1" applyBorder="1" applyAlignment="1">
      <alignment horizontal="center"/>
    </xf>
    <xf numFmtId="0" fontId="6" fillId="3" borderId="24" xfId="0" applyFont="1" applyFill="1" applyBorder="1" applyAlignment="1">
      <alignment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6" fillId="3" borderId="14" xfId="0" applyFont="1" applyFill="1" applyBorder="1" applyAlignment="1">
      <alignment vertical="center" wrapText="1"/>
    </xf>
    <xf numFmtId="0" fontId="0" fillId="0" borderId="6" xfId="0" applyBorder="1" applyAlignment="1">
      <alignment horizontal="center" vertical="center" textRotation="90" wrapText="1"/>
    </xf>
    <xf numFmtId="0" fontId="0" fillId="4" borderId="24" xfId="0" applyFill="1" applyBorder="1" applyAlignment="1">
      <alignment vertical="center" textRotation="90" wrapText="1"/>
    </xf>
    <xf numFmtId="0" fontId="0" fillId="0" borderId="9" xfId="0" applyBorder="1" applyAlignment="1">
      <alignment horizontal="center" vertical="center" textRotation="90" wrapText="1"/>
    </xf>
    <xf numFmtId="0" fontId="6" fillId="3" borderId="12" xfId="0" applyFont="1" applyFill="1" applyBorder="1" applyAlignment="1">
      <alignment vertical="center" wrapText="1"/>
    </xf>
    <xf numFmtId="0" fontId="0" fillId="4" borderId="14" xfId="0" applyFill="1" applyBorder="1" applyAlignment="1">
      <alignment vertical="center" textRotation="90" wrapText="1"/>
    </xf>
    <xf numFmtId="178" fontId="9" fillId="0" borderId="24" xfId="0" applyNumberFormat="1" applyFont="1" applyBorder="1" applyAlignment="1">
      <alignment horizontal="center"/>
    </xf>
    <xf numFmtId="0" fontId="6" fillId="3" borderId="2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 textRotation="90" wrapText="1"/>
    </xf>
    <xf numFmtId="0" fontId="6" fillId="3" borderId="0" xfId="0" applyFont="1" applyFill="1" applyAlignment="1">
      <alignment vertical="center" wrapText="1"/>
    </xf>
    <xf numFmtId="0" fontId="0" fillId="4" borderId="0" xfId="0" applyFill="1" applyAlignment="1">
      <alignment vertical="center" textRotation="90" wrapText="1"/>
    </xf>
    <xf numFmtId="0" fontId="6" fillId="3" borderId="26" xfId="0" applyFont="1" applyFill="1" applyBorder="1" applyAlignment="1">
      <alignment vertical="center" wrapText="1"/>
    </xf>
    <xf numFmtId="0" fontId="0" fillId="4" borderId="16" xfId="0" applyFill="1" applyBorder="1" applyAlignment="1">
      <alignment vertical="center" textRotation="90" wrapText="1"/>
    </xf>
    <xf numFmtId="0" fontId="4" fillId="0" borderId="0" xfId="0" applyFont="1" applyAlignment="1">
      <alignment horizontal="center"/>
    </xf>
    <xf numFmtId="0" fontId="11" fillId="3" borderId="35" xfId="0" applyFont="1" applyFill="1" applyBorder="1" applyAlignment="1">
      <alignment vertical="center" textRotation="90"/>
    </xf>
    <xf numFmtId="0" fontId="11" fillId="5" borderId="32" xfId="0" applyFont="1" applyFill="1" applyBorder="1" applyAlignment="1">
      <alignment horizontal="center" vertical="center" textRotation="90"/>
    </xf>
    <xf numFmtId="0" fontId="11" fillId="3" borderId="36" xfId="0" applyFont="1" applyFill="1" applyBorder="1" applyAlignment="1">
      <alignment vertical="center" textRotation="90"/>
    </xf>
    <xf numFmtId="0" fontId="14" fillId="0" borderId="0" xfId="0" applyFont="1"/>
    <xf numFmtId="178" fontId="11" fillId="5" borderId="32" xfId="0" applyNumberFormat="1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0" fontId="0" fillId="0" borderId="0" xfId="0" applyAlignment="1"/>
    <xf numFmtId="178" fontId="11" fillId="5" borderId="8" xfId="0" applyNumberFormat="1" applyFont="1" applyFill="1" applyBorder="1" applyAlignment="1">
      <alignment horizontal="center"/>
    </xf>
    <xf numFmtId="0" fontId="11" fillId="3" borderId="1" xfId="0" applyFont="1" applyFill="1" applyBorder="1" applyAlignment="1">
      <alignment vertical="center" textRotation="90"/>
    </xf>
    <xf numFmtId="178" fontId="11" fillId="5" borderId="1" xfId="0" applyNumberFormat="1" applyFont="1" applyFill="1" applyBorder="1" applyAlignment="1">
      <alignment horizontal="center"/>
    </xf>
    <xf numFmtId="178" fontId="16" fillId="0" borderId="37" xfId="0" applyNumberFormat="1" applyFont="1" applyBorder="1"/>
    <xf numFmtId="178" fontId="11" fillId="5" borderId="26" xfId="0" applyNumberFormat="1" applyFont="1" applyFill="1" applyBorder="1" applyAlignment="1">
      <alignment horizontal="center"/>
    </xf>
    <xf numFmtId="178" fontId="6" fillId="5" borderId="26" xfId="0" applyNumberFormat="1" applyFont="1" applyFill="1" applyBorder="1" applyAlignment="1">
      <alignment horizontal="center"/>
    </xf>
    <xf numFmtId="178" fontId="9" fillId="5" borderId="32" xfId="0" applyNumberFormat="1" applyFont="1" applyFill="1" applyBorder="1" applyAlignment="1">
      <alignment horizontal="center"/>
    </xf>
    <xf numFmtId="178" fontId="9" fillId="2" borderId="32" xfId="0" applyNumberFormat="1" applyFont="1" applyFill="1" applyBorder="1" applyAlignment="1">
      <alignment horizontal="center"/>
    </xf>
    <xf numFmtId="0" fontId="11" fillId="3" borderId="3" xfId="0" applyFont="1" applyFill="1" applyBorder="1" applyAlignment="1">
      <alignment vertical="center" textRotation="90"/>
    </xf>
    <xf numFmtId="1" fontId="15" fillId="0" borderId="0" xfId="0" applyNumberFormat="1" applyFont="1"/>
    <xf numFmtId="0" fontId="0" fillId="6" borderId="1" xfId="0" applyFill="1" applyBorder="1"/>
    <xf numFmtId="0" fontId="0" fillId="7" borderId="1" xfId="0" applyFill="1" applyBorder="1"/>
    <xf numFmtId="1" fontId="15" fillId="8" borderId="1" xfId="0" applyNumberFormat="1" applyFont="1" applyFill="1" applyBorder="1"/>
    <xf numFmtId="179" fontId="15" fillId="0" borderId="0" xfId="0" applyNumberFormat="1" applyFont="1"/>
    <xf numFmtId="0" fontId="17" fillId="0" borderId="0" xfId="0" applyFont="1"/>
    <xf numFmtId="0" fontId="12" fillId="0" borderId="0" xfId="0" applyFont="1"/>
    <xf numFmtId="0" fontId="0" fillId="9" borderId="0" xfId="0" applyFill="1"/>
    <xf numFmtId="0" fontId="18" fillId="0" borderId="0" xfId="0" applyFont="1"/>
    <xf numFmtId="0" fontId="11" fillId="10" borderId="0" xfId="0" applyFont="1" applyFill="1" applyAlignment="1">
      <alignment horizontal="center" vertical="center"/>
    </xf>
    <xf numFmtId="0" fontId="19" fillId="10" borderId="1" xfId="0" applyFont="1" applyFill="1" applyBorder="1" applyAlignment="1">
      <alignment horizontal="center" vertical="center"/>
    </xf>
    <xf numFmtId="0" fontId="11" fillId="11" borderId="30" xfId="0" applyFont="1" applyFill="1" applyBorder="1" applyAlignment="1">
      <alignment horizontal="center" vertical="center" wrapText="1"/>
    </xf>
    <xf numFmtId="0" fontId="11" fillId="11" borderId="22" xfId="0" applyFont="1" applyFill="1" applyBorder="1" applyAlignment="1">
      <alignment horizontal="center" vertical="center" wrapText="1"/>
    </xf>
    <xf numFmtId="0" fontId="20" fillId="0" borderId="38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12" borderId="30" xfId="0" applyFont="1" applyFill="1" applyBorder="1" applyAlignment="1">
      <alignment horizontal="center" vertical="center"/>
    </xf>
    <xf numFmtId="0" fontId="20" fillId="12" borderId="22" xfId="0" applyFont="1" applyFill="1" applyBorder="1" applyAlignment="1">
      <alignment horizontal="center" vertical="center"/>
    </xf>
    <xf numFmtId="0" fontId="20" fillId="12" borderId="2" xfId="0" applyFont="1" applyFill="1" applyBorder="1" applyAlignment="1">
      <alignment horizontal="center" vertical="center"/>
    </xf>
    <xf numFmtId="0" fontId="20" fillId="0" borderId="39" xfId="0" applyFont="1" applyBorder="1" applyAlignment="1">
      <alignment horizontal="center" vertical="center"/>
    </xf>
    <xf numFmtId="16" fontId="21" fillId="12" borderId="1" xfId="0" applyNumberFormat="1" applyFont="1" applyFill="1" applyBorder="1" applyAlignment="1">
      <alignment horizontal="center" vertical="center" textRotation="90"/>
    </xf>
    <xf numFmtId="16" fontId="22" fillId="13" borderId="1" xfId="0" applyNumberFormat="1" applyFont="1" applyFill="1" applyBorder="1" applyAlignment="1">
      <alignment horizontal="center" vertical="center" textRotation="90"/>
    </xf>
    <xf numFmtId="0" fontId="16" fillId="0" borderId="1" xfId="0" applyFont="1" applyBorder="1"/>
    <xf numFmtId="1" fontId="9" fillId="0" borderId="39" xfId="0" applyNumberFormat="1" applyFont="1" applyBorder="1"/>
    <xf numFmtId="0" fontId="7" fillId="12" borderId="39" xfId="0" applyFont="1" applyFill="1" applyBorder="1" applyAlignment="1">
      <alignment horizontal="center" vertical="center"/>
    </xf>
    <xf numFmtId="0" fontId="7" fillId="8" borderId="39" xfId="0" applyFont="1" applyFill="1" applyBorder="1" applyAlignment="1">
      <alignment horizontal="center" vertical="center"/>
    </xf>
    <xf numFmtId="0" fontId="23" fillId="0" borderId="1" xfId="0" applyFont="1" applyBorder="1"/>
    <xf numFmtId="1" fontId="23" fillId="0" borderId="39" xfId="0" applyNumberFormat="1" applyFont="1" applyBorder="1"/>
    <xf numFmtId="0" fontId="24" fillId="0" borderId="39" xfId="0" applyFont="1" applyBorder="1" applyAlignment="1">
      <alignment horizontal="center" vertical="center"/>
    </xf>
    <xf numFmtId="0" fontId="9" fillId="0" borderId="1" xfId="0" applyFont="1" applyBorder="1"/>
    <xf numFmtId="0" fontId="16" fillId="9" borderId="1" xfId="0" applyFont="1" applyFill="1" applyBorder="1"/>
    <xf numFmtId="1" fontId="9" fillId="9" borderId="39" xfId="0" applyNumberFormat="1" applyFont="1" applyFill="1" applyBorder="1"/>
    <xf numFmtId="0" fontId="7" fillId="9" borderId="39" xfId="0" applyFont="1" applyFill="1" applyBorder="1" applyAlignment="1">
      <alignment horizontal="center" vertical="center"/>
    </xf>
    <xf numFmtId="0" fontId="7" fillId="12" borderId="30" xfId="0" applyFont="1" applyFill="1" applyBorder="1" applyAlignment="1">
      <alignment horizontal="center" vertical="center"/>
    </xf>
    <xf numFmtId="0" fontId="9" fillId="14" borderId="30" xfId="0" applyFont="1" applyFill="1" applyBorder="1"/>
    <xf numFmtId="0" fontId="0" fillId="0" borderId="30" xfId="0" applyBorder="1" applyAlignment="1">
      <alignment horizontal="right"/>
    </xf>
    <xf numFmtId="0" fontId="21" fillId="14" borderId="1" xfId="0" applyFont="1" applyFill="1" applyBorder="1" applyAlignment="1">
      <alignment horizontal="center" vertical="center"/>
    </xf>
    <xf numFmtId="0" fontId="25" fillId="8" borderId="30" xfId="0" applyFont="1" applyFill="1" applyBorder="1" applyAlignment="1">
      <alignment horizontal="center" vertical="center"/>
    </xf>
    <xf numFmtId="0" fontId="26" fillId="7" borderId="1" xfId="0" applyFont="1" applyFill="1" applyBorder="1" applyAlignment="1">
      <alignment vertical="center"/>
    </xf>
    <xf numFmtId="0" fontId="20" fillId="15" borderId="1" xfId="0" applyFont="1" applyFill="1" applyBorder="1" applyAlignment="1">
      <alignment horizontal="center" vertical="center"/>
    </xf>
    <xf numFmtId="16" fontId="21" fillId="15" borderId="1" xfId="0" applyNumberFormat="1" applyFont="1" applyFill="1" applyBorder="1" applyAlignment="1">
      <alignment horizontal="center" vertical="center" textRotation="90"/>
    </xf>
    <xf numFmtId="16" fontId="25" fillId="15" borderId="1" xfId="0" applyNumberFormat="1" applyFont="1" applyFill="1" applyBorder="1" applyAlignment="1">
      <alignment horizontal="center" vertical="center" textRotation="90"/>
    </xf>
    <xf numFmtId="16" fontId="21" fillId="9" borderId="1" xfId="0" applyNumberFormat="1" applyFont="1" applyFill="1" applyBorder="1" applyAlignment="1">
      <alignment horizontal="center" vertical="center" textRotation="90"/>
    </xf>
    <xf numFmtId="0" fontId="7" fillId="0" borderId="39" xfId="0" applyFont="1" applyBorder="1" applyAlignment="1">
      <alignment horizontal="center" vertical="center"/>
    </xf>
    <xf numFmtId="0" fontId="7" fillId="15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11" fillId="16" borderId="22" xfId="0" applyFont="1" applyFill="1" applyBorder="1" applyAlignment="1">
      <alignment horizontal="center" wrapText="1"/>
    </xf>
    <xf numFmtId="0" fontId="26" fillId="7" borderId="1" xfId="0" applyFont="1" applyFill="1" applyBorder="1" applyAlignment="1">
      <alignment horizontal="center" vertical="center"/>
    </xf>
    <xf numFmtId="0" fontId="20" fillId="17" borderId="30" xfId="0" applyFont="1" applyFill="1" applyBorder="1" applyAlignment="1">
      <alignment horizontal="center" vertical="center"/>
    </xf>
    <xf numFmtId="0" fontId="20" fillId="17" borderId="22" xfId="0" applyFont="1" applyFill="1" applyBorder="1" applyAlignment="1">
      <alignment horizontal="center" vertical="center"/>
    </xf>
    <xf numFmtId="16" fontId="21" fillId="17" borderId="1" xfId="0" applyNumberFormat="1" applyFont="1" applyFill="1" applyBorder="1" applyAlignment="1">
      <alignment horizontal="center" vertical="center" textRotation="90"/>
    </xf>
    <xf numFmtId="16" fontId="22" fillId="18" borderId="1" xfId="0" applyNumberFormat="1" applyFont="1" applyFill="1" applyBorder="1" applyAlignment="1">
      <alignment horizontal="center" vertical="center" textRotation="90"/>
    </xf>
    <xf numFmtId="16" fontId="22" fillId="19" borderId="1" xfId="0" applyNumberFormat="1" applyFont="1" applyFill="1" applyBorder="1" applyAlignment="1">
      <alignment horizontal="center" vertical="center" textRotation="90"/>
    </xf>
    <xf numFmtId="0" fontId="7" fillId="17" borderId="3" xfId="0" applyFont="1" applyFill="1" applyBorder="1"/>
    <xf numFmtId="0" fontId="7" fillId="17" borderId="3" xfId="0" applyFont="1" applyFill="1" applyBorder="1" applyAlignment="1">
      <alignment horizontal="center"/>
    </xf>
    <xf numFmtId="0" fontId="27" fillId="18" borderId="3" xfId="0" applyFont="1" applyFill="1" applyBorder="1" applyAlignment="1">
      <alignment horizontal="center"/>
    </xf>
    <xf numFmtId="0" fontId="27" fillId="19" borderId="1" xfId="0" applyFont="1" applyFill="1" applyBorder="1" applyAlignment="1">
      <alignment horizontal="center"/>
    </xf>
    <xf numFmtId="0" fontId="24" fillId="0" borderId="3" xfId="0" applyFont="1" applyBorder="1"/>
    <xf numFmtId="0" fontId="24" fillId="0" borderId="3" xfId="0" applyFont="1" applyBorder="1" applyAlignment="1">
      <alignment horizontal="center"/>
    </xf>
    <xf numFmtId="0" fontId="7" fillId="9" borderId="3" xfId="0" applyFont="1" applyFill="1" applyBorder="1"/>
    <xf numFmtId="0" fontId="24" fillId="20" borderId="3" xfId="0" applyFont="1" applyFill="1" applyBorder="1" applyAlignment="1">
      <alignment horizontal="center"/>
    </xf>
    <xf numFmtId="0" fontId="26" fillId="7" borderId="2" xfId="0" applyFont="1" applyFill="1" applyBorder="1" applyAlignment="1">
      <alignment vertical="center"/>
    </xf>
    <xf numFmtId="0" fontId="26" fillId="7" borderId="30" xfId="0" applyFont="1" applyFill="1" applyBorder="1" applyAlignment="1">
      <alignment horizontal="center" vertical="center"/>
    </xf>
    <xf numFmtId="0" fontId="26" fillId="7" borderId="22" xfId="0" applyFont="1" applyFill="1" applyBorder="1" applyAlignment="1">
      <alignment horizontal="center" vertical="center"/>
    </xf>
    <xf numFmtId="16" fontId="28" fillId="21" borderId="1" xfId="0" applyNumberFormat="1" applyFont="1" applyFill="1" applyBorder="1" applyAlignment="1">
      <alignment horizontal="center" vertical="center" textRotation="90"/>
    </xf>
    <xf numFmtId="16" fontId="22" fillId="6" borderId="1" xfId="0" applyNumberFormat="1" applyFont="1" applyFill="1" applyBorder="1" applyAlignment="1">
      <alignment horizontal="center" vertical="center" textRotation="90"/>
    </xf>
    <xf numFmtId="16" fontId="21" fillId="22" borderId="1" xfId="0" applyNumberFormat="1" applyFont="1" applyFill="1" applyBorder="1" applyAlignment="1">
      <alignment horizontal="center" vertical="center" textRotation="90"/>
    </xf>
    <xf numFmtId="0" fontId="29" fillId="21" borderId="39" xfId="0" applyFont="1" applyFill="1" applyBorder="1" applyAlignment="1">
      <alignment horizontal="center" vertical="center"/>
    </xf>
    <xf numFmtId="0" fontId="27" fillId="6" borderId="39" xfId="0" applyFont="1" applyFill="1" applyBorder="1" applyAlignment="1">
      <alignment horizontal="center" vertical="center" wrapText="1"/>
    </xf>
    <xf numFmtId="0" fontId="7" fillId="22" borderId="3" xfId="0" applyFont="1" applyFill="1" applyBorder="1"/>
    <xf numFmtId="0" fontId="7" fillId="22" borderId="3" xfId="0" applyFont="1" applyFill="1" applyBorder="1" applyAlignment="1">
      <alignment horizontal="center"/>
    </xf>
    <xf numFmtId="0" fontId="27" fillId="6" borderId="39" xfId="0" applyFont="1" applyFill="1" applyBorder="1" applyAlignment="1">
      <alignment horizontal="center" vertical="center"/>
    </xf>
    <xf numFmtId="0" fontId="7" fillId="22" borderId="1" xfId="0" applyFont="1" applyFill="1" applyBorder="1"/>
    <xf numFmtId="0" fontId="7" fillId="22" borderId="1" xfId="0" applyFont="1" applyFill="1" applyBorder="1" applyAlignment="1">
      <alignment horizontal="center"/>
    </xf>
    <xf numFmtId="0" fontId="24" fillId="0" borderId="1" xfId="0" applyFont="1" applyBorder="1"/>
    <xf numFmtId="0" fontId="24" fillId="0" borderId="1" xfId="0" applyFont="1" applyBorder="1" applyAlignment="1">
      <alignment horizontal="center"/>
    </xf>
    <xf numFmtId="0" fontId="7" fillId="9" borderId="1" xfId="0" applyFont="1" applyFill="1" applyBorder="1"/>
    <xf numFmtId="0" fontId="7" fillId="9" borderId="1" xfId="0" applyFont="1" applyFill="1" applyBorder="1" applyAlignment="1">
      <alignment horizontal="center"/>
    </xf>
    <xf numFmtId="0" fontId="30" fillId="22" borderId="1" xfId="0" applyFont="1" applyFill="1" applyBorder="1"/>
    <xf numFmtId="0" fontId="30" fillId="22" borderId="1" xfId="0" applyFont="1" applyFill="1" applyBorder="1" applyAlignment="1">
      <alignment horizontal="center"/>
    </xf>
    <xf numFmtId="0" fontId="7" fillId="22" borderId="1" xfId="0" applyFont="1" applyFill="1" applyBorder="1" applyAlignment="1">
      <alignment horizontal="left" vertical="center"/>
    </xf>
    <xf numFmtId="0" fontId="7" fillId="22" borderId="1" xfId="0" applyFont="1" applyFill="1" applyBorder="1" applyAlignment="1">
      <alignment horizontal="center" vertical="center"/>
    </xf>
    <xf numFmtId="0" fontId="26" fillId="7" borderId="2" xfId="0" applyFont="1" applyFill="1" applyBorder="1" applyAlignment="1">
      <alignment horizontal="center" vertical="center"/>
    </xf>
    <xf numFmtId="16" fontId="22" fillId="23" borderId="1" xfId="0" applyNumberFormat="1" applyFont="1" applyFill="1" applyBorder="1" applyAlignment="1">
      <alignment horizontal="center" vertical="center" textRotation="90"/>
    </xf>
    <xf numFmtId="0" fontId="27" fillId="23" borderId="3" xfId="0" applyFont="1" applyFill="1" applyBorder="1" applyAlignment="1">
      <alignment horizontal="center"/>
    </xf>
    <xf numFmtId="0" fontId="27" fillId="18" borderId="39" xfId="0" applyFont="1" applyFill="1" applyBorder="1" applyAlignment="1">
      <alignment horizontal="center"/>
    </xf>
    <xf numFmtId="0" fontId="7" fillId="8" borderId="30" xfId="0" applyFont="1" applyFill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0" fillId="14" borderId="1" xfId="0" applyFont="1" applyFill="1" applyBorder="1" applyAlignment="1">
      <alignment horizontal="center" vertical="center"/>
    </xf>
    <xf numFmtId="0" fontId="31" fillId="8" borderId="30" xfId="0" applyFont="1" applyFill="1" applyBorder="1" applyAlignment="1">
      <alignment horizontal="center" vertical="center"/>
    </xf>
    <xf numFmtId="0" fontId="20" fillId="15" borderId="30" xfId="0" applyFont="1" applyFill="1" applyBorder="1" applyAlignment="1">
      <alignment horizontal="center" vertical="center"/>
    </xf>
    <xf numFmtId="16" fontId="21" fillId="8" borderId="1" xfId="0" applyNumberFormat="1" applyFont="1" applyFill="1" applyBorder="1" applyAlignment="1">
      <alignment horizontal="center" vertical="center" textRotation="90"/>
    </xf>
    <xf numFmtId="0" fontId="27" fillId="19" borderId="39" xfId="0" applyFont="1" applyFill="1" applyBorder="1" applyAlignment="1">
      <alignment horizontal="center" vertical="center" wrapText="1"/>
    </xf>
    <xf numFmtId="0" fontId="27" fillId="24" borderId="1" xfId="0" applyFont="1" applyFill="1" applyBorder="1" applyAlignment="1">
      <alignment horizontal="center"/>
    </xf>
    <xf numFmtId="0" fontId="30" fillId="12" borderId="30" xfId="0" applyFont="1" applyFill="1" applyBorder="1" applyAlignment="1">
      <alignment horizontal="center" vertical="center"/>
    </xf>
    <xf numFmtId="0" fontId="30" fillId="12" borderId="39" xfId="0" applyFont="1" applyFill="1" applyBorder="1" applyAlignment="1">
      <alignment horizontal="center" vertical="center"/>
    </xf>
    <xf numFmtId="0" fontId="20" fillId="15" borderId="22" xfId="0" applyFont="1" applyFill="1" applyBorder="1" applyAlignment="1">
      <alignment horizontal="center" vertical="center"/>
    </xf>
    <xf numFmtId="0" fontId="20" fillId="15" borderId="2" xfId="0" applyFont="1" applyFill="1" applyBorder="1" applyAlignment="1">
      <alignment horizontal="center" vertical="center"/>
    </xf>
    <xf numFmtId="16" fontId="22" fillId="24" borderId="1" xfId="0" applyNumberFormat="1" applyFont="1" applyFill="1" applyBorder="1" applyAlignment="1">
      <alignment horizontal="center" vertical="center" textRotation="90"/>
    </xf>
    <xf numFmtId="0" fontId="24" fillId="0" borderId="39" xfId="0" applyFont="1" applyBorder="1" applyAlignment="1">
      <alignment horizontal="center"/>
    </xf>
    <xf numFmtId="0" fontId="20" fillId="22" borderId="30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/>
    </xf>
    <xf numFmtId="1" fontId="9" fillId="0" borderId="39" xfId="0" applyNumberFormat="1" applyFont="1" applyBorder="1" applyAlignment="1">
      <alignment horizontal="center" vertical="center"/>
    </xf>
    <xf numFmtId="0" fontId="20" fillId="22" borderId="22" xfId="0" applyFont="1" applyFill="1" applyBorder="1" applyAlignment="1">
      <alignment horizontal="center" vertical="center"/>
    </xf>
    <xf numFmtId="0" fontId="20" fillId="22" borderId="2" xfId="0" applyFont="1" applyFill="1" applyBorder="1" applyAlignment="1">
      <alignment horizontal="center" vertical="center"/>
    </xf>
    <xf numFmtId="0" fontId="11" fillId="16" borderId="2" xfId="0" applyFont="1" applyFill="1" applyBorder="1" applyAlignment="1">
      <alignment horizontal="center" wrapText="1"/>
    </xf>
    <xf numFmtId="0" fontId="11" fillId="25" borderId="30" xfId="0" applyFont="1" applyFill="1" applyBorder="1" applyAlignment="1">
      <alignment horizontal="center" wrapText="1"/>
    </xf>
    <xf numFmtId="0" fontId="11" fillId="25" borderId="22" xfId="0" applyFont="1" applyFill="1" applyBorder="1" applyAlignment="1">
      <alignment horizontal="center" wrapText="1"/>
    </xf>
    <xf numFmtId="0" fontId="7" fillId="15" borderId="39" xfId="0" applyFont="1" applyFill="1" applyBorder="1" applyAlignment="1">
      <alignment horizontal="center" vertical="center"/>
    </xf>
    <xf numFmtId="0" fontId="7" fillId="9" borderId="30" xfId="0" applyFont="1" applyFill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30" fillId="22" borderId="30" xfId="0" applyFont="1" applyFill="1" applyBorder="1"/>
    <xf numFmtId="0" fontId="7" fillId="17" borderId="39" xfId="0" applyFont="1" applyFill="1" applyBorder="1" applyAlignment="1">
      <alignment horizontal="center"/>
    </xf>
    <xf numFmtId="0" fontId="7" fillId="9" borderId="39" xfId="0" applyFont="1" applyFill="1" applyBorder="1" applyAlignment="1">
      <alignment horizontal="center"/>
    </xf>
    <xf numFmtId="0" fontId="7" fillId="17" borderId="39" xfId="0" applyFont="1" applyFill="1" applyBorder="1"/>
    <xf numFmtId="0" fontId="24" fillId="0" borderId="39" xfId="0" applyFont="1" applyBorder="1"/>
    <xf numFmtId="0" fontId="32" fillId="0" borderId="39" xfId="0" applyFont="1" applyBorder="1" applyAlignment="1">
      <alignment horizontal="center" vertical="center"/>
    </xf>
    <xf numFmtId="0" fontId="7" fillId="0" borderId="1" xfId="0" applyFont="1" applyBorder="1"/>
    <xf numFmtId="0" fontId="11" fillId="25" borderId="2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17" fillId="14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0" fontId="11" fillId="0" borderId="14" xfId="0" applyFont="1" applyBorder="1" applyAlignment="1">
      <alignment horizontal="center"/>
    </xf>
    <xf numFmtId="1" fontId="7" fillId="0" borderId="15" xfId="0" applyNumberFormat="1" applyFont="1" applyBorder="1" applyAlignment="1" applyProtection="1">
      <alignment horizontal="left" vertical="center"/>
      <protection locked="0"/>
    </xf>
    <xf numFmtId="1" fontId="7" fillId="0" borderId="16" xfId="0" applyNumberFormat="1" applyFont="1" applyBorder="1" applyAlignment="1" applyProtection="1">
      <alignment horizontal="left" vertical="center"/>
      <protection locked="0"/>
    </xf>
    <xf numFmtId="0" fontId="11" fillId="0" borderId="31" xfId="0" applyFont="1" applyBorder="1" applyAlignment="1">
      <alignment horizontal="center" vertical="center" textRotation="90" wrapText="1"/>
    </xf>
    <xf numFmtId="178" fontId="6" fillId="0" borderId="15" xfId="0" applyNumberFormat="1" applyFont="1" applyBorder="1" applyAlignment="1">
      <alignment horizontal="center"/>
    </xf>
    <xf numFmtId="0" fontId="3" fillId="0" borderId="24" xfId="0" applyFont="1" applyBorder="1" applyAlignment="1">
      <alignment horizontal="center" textRotation="90" wrapText="1"/>
    </xf>
    <xf numFmtId="0" fontId="3" fillId="0" borderId="14" xfId="0" applyFont="1" applyBorder="1" applyAlignment="1">
      <alignment horizontal="center" textRotation="90" wrapText="1"/>
    </xf>
    <xf numFmtId="0" fontId="3" fillId="0" borderId="16" xfId="0" applyFont="1" applyBorder="1" applyAlignment="1">
      <alignment horizontal="center" textRotation="90" wrapText="1"/>
    </xf>
    <xf numFmtId="0" fontId="3" fillId="0" borderId="7" xfId="0" applyFont="1" applyBorder="1" applyAlignment="1">
      <alignment horizontal="center" textRotation="90" wrapText="1"/>
    </xf>
    <xf numFmtId="0" fontId="3" fillId="0" borderId="8" xfId="0" applyFont="1" applyBorder="1" applyAlignment="1">
      <alignment horizontal="center" textRotation="90" wrapText="1"/>
    </xf>
    <xf numFmtId="0" fontId="3" fillId="0" borderId="11" xfId="0" applyFont="1" applyBorder="1" applyAlignment="1">
      <alignment horizontal="center" textRotation="90" wrapText="1"/>
    </xf>
    <xf numFmtId="0" fontId="3" fillId="0" borderId="12" xfId="0" applyFont="1" applyBorder="1" applyAlignment="1">
      <alignment horizontal="center" textRotation="90" wrapText="1"/>
    </xf>
    <xf numFmtId="0" fontId="3" fillId="0" borderId="17" xfId="0" applyFont="1" applyBorder="1" applyAlignment="1">
      <alignment horizontal="center" textRotation="90" wrapText="1"/>
    </xf>
    <xf numFmtId="0" fontId="3" fillId="0" borderId="26" xfId="0" applyFont="1" applyBorder="1" applyAlignment="1">
      <alignment horizontal="center" textRotation="90" wrapText="1"/>
    </xf>
    <xf numFmtId="0" fontId="33" fillId="0" borderId="0" xfId="0" applyFont="1"/>
    <xf numFmtId="0" fontId="12" fillId="14" borderId="0" xfId="0" applyFont="1" applyFill="1"/>
    <xf numFmtId="16" fontId="21" fillId="26" borderId="1" xfId="0" applyNumberFormat="1" applyFont="1" applyFill="1" applyBorder="1" applyAlignment="1">
      <alignment horizontal="center" vertical="center" textRotation="90"/>
    </xf>
    <xf numFmtId="0" fontId="7" fillId="26" borderId="39" xfId="0" applyFont="1" applyFill="1" applyBorder="1" applyAlignment="1">
      <alignment horizontal="center" vertical="center"/>
    </xf>
    <xf numFmtId="0" fontId="9" fillId="14" borderId="1" xfId="0" applyFont="1" applyFill="1" applyBorder="1"/>
    <xf numFmtId="0" fontId="24" fillId="12" borderId="39" xfId="0" applyFont="1" applyFill="1" applyBorder="1" applyAlignment="1">
      <alignment horizontal="center" vertical="center"/>
    </xf>
    <xf numFmtId="0" fontId="7" fillId="26" borderId="3" xfId="0" applyFont="1" applyFill="1" applyBorder="1" applyAlignment="1">
      <alignment horizontal="center" vertical="center"/>
    </xf>
    <xf numFmtId="0" fontId="24" fillId="15" borderId="3" xfId="0" applyFont="1" applyFill="1" applyBorder="1" applyAlignment="1">
      <alignment horizontal="center" vertical="center"/>
    </xf>
    <xf numFmtId="0" fontId="24" fillId="15" borderId="39" xfId="0" applyFont="1" applyFill="1" applyBorder="1" applyAlignment="1">
      <alignment horizontal="center" vertical="center"/>
    </xf>
    <xf numFmtId="0" fontId="7" fillId="23" borderId="3" xfId="0" applyFont="1" applyFill="1" applyBorder="1" applyAlignment="1">
      <alignment horizontal="center" vertical="center"/>
    </xf>
    <xf numFmtId="0" fontId="27" fillId="19" borderId="39" xfId="0" applyFont="1" applyFill="1" applyBorder="1" applyAlignment="1">
      <alignment horizontal="center"/>
    </xf>
    <xf numFmtId="0" fontId="24" fillId="20" borderId="39" xfId="0" applyFont="1" applyFill="1" applyBorder="1" applyAlignment="1">
      <alignment horizontal="center"/>
    </xf>
    <xf numFmtId="0" fontId="7" fillId="12" borderId="30" xfId="0" applyFont="1" applyFill="1" applyBorder="1" applyAlignment="1">
      <alignment horizontal="center" vertical="center" wrapText="1"/>
    </xf>
    <xf numFmtId="0" fontId="27" fillId="19" borderId="3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16" fontId="21" fillId="27" borderId="1" xfId="0" applyNumberFormat="1" applyFont="1" applyFill="1" applyBorder="1" applyAlignment="1">
      <alignment horizontal="center" vertical="center" textRotation="90"/>
    </xf>
    <xf numFmtId="0" fontId="16" fillId="0" borderId="1" xfId="0" applyFont="1" applyBorder="1" applyAlignment="1">
      <alignment horizontal="center"/>
    </xf>
    <xf numFmtId="0" fontId="7" fillId="21" borderId="39" xfId="0" applyFont="1" applyFill="1" applyBorder="1" applyAlignment="1">
      <alignment horizontal="center"/>
    </xf>
    <xf numFmtId="0" fontId="24" fillId="21" borderId="39" xfId="0" applyFont="1" applyFill="1" applyBorder="1" applyAlignment="1">
      <alignment horizontal="center"/>
    </xf>
    <xf numFmtId="0" fontId="7" fillId="21" borderId="3" xfId="0" applyFont="1" applyFill="1" applyBorder="1" applyAlignment="1">
      <alignment horizontal="center"/>
    </xf>
    <xf numFmtId="0" fontId="7" fillId="26" borderId="39" xfId="0" applyFont="1" applyFill="1" applyBorder="1" applyAlignment="1">
      <alignment horizontal="center"/>
    </xf>
    <xf numFmtId="0" fontId="7" fillId="26" borderId="3" xfId="0" applyFont="1" applyFill="1" applyBorder="1" applyAlignment="1">
      <alignment horizontal="center"/>
    </xf>
    <xf numFmtId="1" fontId="9" fillId="0" borderId="39" xfId="0" applyNumberFormat="1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27" fillId="28" borderId="3" xfId="0" applyFont="1" applyFill="1" applyBorder="1" applyAlignment="1">
      <alignment horizontal="center"/>
    </xf>
    <xf numFmtId="0" fontId="34" fillId="0" borderId="5" xfId="0" applyFont="1" applyBorder="1" applyAlignment="1">
      <alignment horizontal="center"/>
    </xf>
    <xf numFmtId="1" fontId="7" fillId="0" borderId="24" xfId="0" applyNumberFormat="1" applyFont="1" applyBorder="1" applyAlignment="1" applyProtection="1">
      <alignment horizontal="left" vertical="center"/>
      <protection locked="0"/>
    </xf>
    <xf numFmtId="178" fontId="9" fillId="0" borderId="12" xfId="0" applyNumberFormat="1" applyFont="1" applyBorder="1" applyAlignment="1">
      <alignment horizontal="center"/>
    </xf>
    <xf numFmtId="0" fontId="8" fillId="2" borderId="13" xfId="0" applyFont="1" applyFill="1" applyBorder="1" applyAlignment="1">
      <alignment horizontal="center" vertical="center" wrapText="1"/>
    </xf>
    <xf numFmtId="0" fontId="11" fillId="0" borderId="40" xfId="0" applyFont="1" applyBorder="1" applyAlignment="1">
      <alignment horizontal="center" vertical="center" textRotation="90" wrapText="1"/>
    </xf>
    <xf numFmtId="0" fontId="11" fillId="2" borderId="41" xfId="0" applyFont="1" applyFill="1" applyBorder="1" applyAlignment="1">
      <alignment horizontal="center" vertical="center" textRotation="90" wrapText="1"/>
    </xf>
    <xf numFmtId="0" fontId="3" fillId="0" borderId="2" xfId="0" applyFont="1" applyBorder="1" applyAlignment="1">
      <alignment horizontal="center" textRotation="90" wrapText="1"/>
    </xf>
    <xf numFmtId="0" fontId="11" fillId="0" borderId="42" xfId="0" applyFont="1" applyBorder="1" applyAlignment="1">
      <alignment horizontal="center" vertical="center" textRotation="90" wrapText="1"/>
    </xf>
    <xf numFmtId="0" fontId="11" fillId="2" borderId="43" xfId="0" applyFont="1" applyFill="1" applyBorder="1" applyAlignment="1">
      <alignment horizontal="center" vertical="center" textRotation="90" wrapText="1"/>
    </xf>
    <xf numFmtId="178" fontId="6" fillId="0" borderId="44" xfId="0" applyNumberFormat="1" applyFont="1" applyBorder="1" applyAlignment="1">
      <alignment horizontal="center"/>
    </xf>
    <xf numFmtId="178" fontId="9" fillId="0" borderId="8" xfId="0" applyNumberFormat="1" applyFont="1" applyBorder="1" applyAlignment="1">
      <alignment horizontal="center"/>
    </xf>
    <xf numFmtId="178" fontId="9" fillId="0" borderId="45" xfId="0" applyNumberFormat="1" applyFont="1" applyBorder="1" applyAlignment="1">
      <alignment horizontal="center"/>
    </xf>
    <xf numFmtId="0" fontId="11" fillId="2" borderId="46" xfId="0" applyFont="1" applyFill="1" applyBorder="1" applyAlignment="1">
      <alignment horizontal="center" vertical="center" textRotation="90" wrapText="1"/>
    </xf>
    <xf numFmtId="178" fontId="9" fillId="0" borderId="44" xfId="0" applyNumberFormat="1" applyFont="1" applyBorder="1" applyAlignment="1">
      <alignment horizontal="center"/>
    </xf>
    <xf numFmtId="0" fontId="11" fillId="2" borderId="47" xfId="0" applyFont="1" applyFill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 textRotation="90" wrapText="1"/>
    </xf>
    <xf numFmtId="0" fontId="11" fillId="0" borderId="1" xfId="0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textRotation="90" wrapText="1"/>
    </xf>
    <xf numFmtId="0" fontId="6" fillId="3" borderId="48" xfId="0" applyFont="1" applyFill="1" applyBorder="1" applyAlignment="1">
      <alignment vertical="center" wrapText="1"/>
    </xf>
    <xf numFmtId="178" fontId="9" fillId="0" borderId="14" xfId="0" applyNumberFormat="1" applyFont="1" applyBorder="1" applyAlignment="1">
      <alignment horizontal="center"/>
    </xf>
    <xf numFmtId="0" fontId="0" fillId="4" borderId="35" xfId="0" applyFill="1" applyBorder="1" applyAlignment="1">
      <alignment vertical="center" textRotation="90" wrapText="1"/>
    </xf>
    <xf numFmtId="0" fontId="6" fillId="3" borderId="15" xfId="0" applyFont="1" applyFill="1" applyBorder="1" applyAlignment="1">
      <alignment vertical="center" wrapText="1"/>
    </xf>
    <xf numFmtId="0" fontId="0" fillId="4" borderId="15" xfId="0" applyFill="1" applyBorder="1" applyAlignment="1">
      <alignment vertical="center" textRotation="90" wrapText="1"/>
    </xf>
    <xf numFmtId="0" fontId="34" fillId="0" borderId="0" xfId="0" applyFont="1" applyAlignment="1">
      <alignment horizontal="center"/>
    </xf>
    <xf numFmtId="178" fontId="11" fillId="5" borderId="35" xfId="0" applyNumberFormat="1" applyFont="1" applyFill="1" applyBorder="1" applyAlignment="1">
      <alignment horizontal="center"/>
    </xf>
    <xf numFmtId="0" fontId="11" fillId="3" borderId="15" xfId="0" applyFont="1" applyFill="1" applyBorder="1" applyAlignment="1">
      <alignment vertical="center" textRotation="90"/>
    </xf>
    <xf numFmtId="178" fontId="10" fillId="0" borderId="15" xfId="0" applyNumberFormat="1" applyFont="1" applyBorder="1" applyAlignment="1">
      <alignment horizontal="center"/>
    </xf>
    <xf numFmtId="0" fontId="35" fillId="0" borderId="0" xfId="0" applyFont="1"/>
    <xf numFmtId="0" fontId="27" fillId="23" borderId="39" xfId="0" applyFont="1" applyFill="1" applyBorder="1" applyAlignment="1">
      <alignment horizontal="center"/>
    </xf>
    <xf numFmtId="0" fontId="30" fillId="9" borderId="1" xfId="0" applyFont="1" applyFill="1" applyBorder="1"/>
    <xf numFmtId="16" fontId="36" fillId="18" borderId="1" xfId="0" applyNumberFormat="1" applyFont="1" applyFill="1" applyBorder="1" applyAlignment="1">
      <alignment horizontal="center" vertical="center" textRotation="90"/>
    </xf>
    <xf numFmtId="0" fontId="32" fillId="12" borderId="30" xfId="0" applyFont="1" applyFill="1" applyBorder="1" applyAlignment="1">
      <alignment horizontal="center" vertical="center"/>
    </xf>
    <xf numFmtId="16" fontId="36" fillId="19" borderId="1" xfId="0" applyNumberFormat="1" applyFont="1" applyFill="1" applyBorder="1" applyAlignment="1">
      <alignment horizontal="center" vertical="center" textRotation="90"/>
    </xf>
    <xf numFmtId="0" fontId="7" fillId="9" borderId="3" xfId="0" applyFont="1" applyFill="1" applyBorder="1" applyAlignment="1">
      <alignment horizontal="center"/>
    </xf>
    <xf numFmtId="0" fontId="30" fillId="9" borderId="30" xfId="0" applyFont="1" applyFill="1" applyBorder="1" applyAlignment="1">
      <alignment horizontal="center" vertical="center"/>
    </xf>
    <xf numFmtId="0" fontId="37" fillId="29" borderId="35" xfId="0" applyFont="1" applyFill="1" applyBorder="1" applyAlignment="1">
      <alignment horizontal="center" vertical="center"/>
    </xf>
    <xf numFmtId="0" fontId="37" fillId="16" borderId="35" xfId="0" applyFont="1" applyFill="1" applyBorder="1" applyAlignment="1">
      <alignment horizontal="center" vertical="center"/>
    </xf>
    <xf numFmtId="0" fontId="0" fillId="0" borderId="1" xfId="0" applyBorder="1"/>
    <xf numFmtId="0" fontId="1" fillId="0" borderId="15" xfId="0" applyFont="1" applyBorder="1"/>
    <xf numFmtId="0" fontId="1" fillId="0" borderId="0" xfId="0" applyFont="1"/>
    <xf numFmtId="0" fontId="38" fillId="14" borderId="0" xfId="0" applyFont="1" applyFill="1"/>
    <xf numFmtId="0" fontId="17" fillId="14" borderId="1" xfId="0" applyFont="1" applyFill="1" applyBorder="1"/>
    <xf numFmtId="0" fontId="17" fillId="0" borderId="1" xfId="0" applyFont="1" applyBorder="1"/>
    <xf numFmtId="0" fontId="0" fillId="14" borderId="1" xfId="0" applyFill="1" applyBorder="1"/>
    <xf numFmtId="0" fontId="0" fillId="14" borderId="0" xfId="0" applyFill="1"/>
    <xf numFmtId="0" fontId="39" fillId="0" borderId="1" xfId="0" applyFont="1" applyBorder="1"/>
    <xf numFmtId="0" fontId="2" fillId="0" borderId="0" xfId="6"/>
    <xf numFmtId="0" fontId="2" fillId="0" borderId="0" xfId="6" quotePrefix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8">
    <dxf>
      <font>
        <b val="1"/>
        <i val="0"/>
        <color rgb="FFFFFF00"/>
      </font>
      <fill>
        <patternFill patternType="solid">
          <bgColor theme="1"/>
        </patternFill>
      </fill>
    </dxf>
    <dxf>
      <font>
        <color rgb="FF333399"/>
      </font>
      <fill>
        <patternFill patternType="none"/>
      </fill>
    </dxf>
    <dxf>
      <font>
        <b val="1"/>
      </font>
      <fill>
        <patternFill patternType="none"/>
      </fill>
    </dxf>
    <dxf>
      <font>
        <b val="1"/>
        <i val="0"/>
        <color indexed="9"/>
      </font>
    </dxf>
    <dxf>
      <font>
        <b val="0"/>
        <color indexed="62"/>
      </font>
    </dxf>
    <dxf>
      <font>
        <b val="0"/>
        <color indexed="16"/>
      </font>
      <fill>
        <patternFill patternType="solid">
          <fgColor indexed="31"/>
          <bgColor indexed="47"/>
        </patternFill>
      </fill>
    </dxf>
    <dxf>
      <font>
        <b val="1"/>
        <i val="0"/>
        <color auto="1"/>
      </font>
      <fill>
        <patternFill patternType="none"/>
      </fill>
    </dxf>
    <dxf>
      <font>
        <b val="1"/>
        <i val="0"/>
        <color indexed="25"/>
      </font>
    </dxf>
  </dxfs>
  <tableStyles count="0" defaultTableStyle="TableStyleMedium2" defaultPivotStyle="PivotStyleLight16"/>
  <colors>
    <mruColors>
      <color rgb="00F71FBC"/>
      <color rgb="00FF99CC"/>
      <color rgb="00FFFF66"/>
      <color rgb="0000FFFF"/>
      <color rgb="00FF66CC"/>
      <color rgb="0000FF00"/>
      <color rgb="00D61A8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28574</xdr:colOff>
      <xdr:row>32</xdr:row>
      <xdr:rowOff>28575</xdr:rowOff>
    </xdr:from>
    <xdr:to>
      <xdr:col>14</xdr:col>
      <xdr:colOff>127492</xdr:colOff>
      <xdr:row>39</xdr:row>
      <xdr:rowOff>95250</xdr:rowOff>
    </xdr:to>
    <xdr:pic>
      <xdr:nvPicPr>
        <xdr:cNvPr id="2" name="Imagen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36800" y="6177280"/>
          <a:ext cx="3134360" cy="1200150"/>
        </a:xfrm>
        <a:prstGeom prst="rect">
          <a:avLst/>
        </a:prstGeom>
      </xdr:spPr>
    </xdr:pic>
    <xdr:clientData/>
  </xdr:twoCellAnchor>
  <xdr:twoCellAnchor editAs="oneCell">
    <xdr:from>
      <xdr:col>1</xdr:col>
      <xdr:colOff>276225</xdr:colOff>
      <xdr:row>1</xdr:row>
      <xdr:rowOff>66676</xdr:rowOff>
    </xdr:from>
    <xdr:to>
      <xdr:col>1</xdr:col>
      <xdr:colOff>809482</xdr:colOff>
      <xdr:row>3</xdr:row>
      <xdr:rowOff>57150</xdr:rowOff>
    </xdr:to>
    <xdr:pic>
      <xdr:nvPicPr>
        <xdr:cNvPr id="3" name="0 Imagen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9740" y="323850"/>
          <a:ext cx="532765" cy="714375"/>
        </a:xfrm>
        <a:prstGeom prst="rect">
          <a:avLst/>
        </a:prstGeom>
      </xdr:spPr>
    </xdr:pic>
    <xdr:clientData/>
  </xdr:twoCellAnchor>
  <xdr:twoCellAnchor>
    <xdr:from>
      <xdr:col>9</xdr:col>
      <xdr:colOff>121920</xdr:colOff>
      <xdr:row>33</xdr:row>
      <xdr:rowOff>121920</xdr:rowOff>
    </xdr:from>
    <xdr:to>
      <xdr:col>13</xdr:col>
      <xdr:colOff>200025</xdr:colOff>
      <xdr:row>37</xdr:row>
      <xdr:rowOff>26670</xdr:rowOff>
    </xdr:to>
    <xdr:sp>
      <xdr:nvSpPr>
        <xdr:cNvPr id="4" name="Rectángulo 3"/>
        <xdr:cNvSpPr/>
      </xdr:nvSpPr>
      <xdr:spPr>
        <a:xfrm>
          <a:off x="3948430" y="6432550"/>
          <a:ext cx="1345565" cy="552450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l"/>
          <a:endParaRPr lang="es-ES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276225</xdr:colOff>
      <xdr:row>1</xdr:row>
      <xdr:rowOff>66676</xdr:rowOff>
    </xdr:from>
    <xdr:to>
      <xdr:col>1</xdr:col>
      <xdr:colOff>857107</xdr:colOff>
      <xdr:row>3</xdr:row>
      <xdr:rowOff>85726</xdr:rowOff>
    </xdr:to>
    <xdr:pic>
      <xdr:nvPicPr>
        <xdr:cNvPr id="3" name="0 Imagen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9740" y="361950"/>
          <a:ext cx="580390" cy="7429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14</xdr:col>
      <xdr:colOff>129540</xdr:colOff>
      <xdr:row>39</xdr:row>
      <xdr:rowOff>66675</xdr:rowOff>
    </xdr:to>
    <xdr:pic>
      <xdr:nvPicPr>
        <xdr:cNvPr id="2" name="Imagen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50795" y="6186805"/>
          <a:ext cx="3164840" cy="1200150"/>
        </a:xfrm>
        <a:prstGeom prst="rect">
          <a:avLst/>
        </a:prstGeom>
      </xdr:spPr>
    </xdr:pic>
    <xdr:clientData/>
  </xdr:twoCellAnchor>
  <xdr:twoCellAnchor>
    <xdr:from>
      <xdr:col>9</xdr:col>
      <xdr:colOff>93980</xdr:colOff>
      <xdr:row>33</xdr:row>
      <xdr:rowOff>93345</xdr:rowOff>
    </xdr:from>
    <xdr:to>
      <xdr:col>13</xdr:col>
      <xdr:colOff>172085</xdr:colOff>
      <xdr:row>36</xdr:row>
      <xdr:rowOff>160020</xdr:rowOff>
    </xdr:to>
    <xdr:sp>
      <xdr:nvSpPr>
        <xdr:cNvPr id="4" name="Rectángulo 3"/>
        <xdr:cNvSpPr/>
      </xdr:nvSpPr>
      <xdr:spPr>
        <a:xfrm>
          <a:off x="4162425" y="6442075"/>
          <a:ext cx="1345565" cy="552450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s-E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s-ES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276225</xdr:colOff>
      <xdr:row>1</xdr:row>
      <xdr:rowOff>66676</xdr:rowOff>
    </xdr:from>
    <xdr:to>
      <xdr:col>1</xdr:col>
      <xdr:colOff>809482</xdr:colOff>
      <xdr:row>3</xdr:row>
      <xdr:rowOff>57150</xdr:rowOff>
    </xdr:to>
    <xdr:pic>
      <xdr:nvPicPr>
        <xdr:cNvPr id="3" name="0 Imagen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9740" y="361950"/>
          <a:ext cx="532765" cy="7143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14</xdr:col>
      <xdr:colOff>129540</xdr:colOff>
      <xdr:row>39</xdr:row>
      <xdr:rowOff>66675</xdr:rowOff>
    </xdr:to>
    <xdr:pic>
      <xdr:nvPicPr>
        <xdr:cNvPr id="2" name="Imagen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50795" y="6196330"/>
          <a:ext cx="3164840" cy="1200150"/>
        </a:xfrm>
        <a:prstGeom prst="rect">
          <a:avLst/>
        </a:prstGeom>
      </xdr:spPr>
    </xdr:pic>
    <xdr:clientData/>
  </xdr:twoCellAnchor>
  <xdr:twoCellAnchor>
    <xdr:from>
      <xdr:col>9</xdr:col>
      <xdr:colOff>93980</xdr:colOff>
      <xdr:row>33</xdr:row>
      <xdr:rowOff>93345</xdr:rowOff>
    </xdr:from>
    <xdr:to>
      <xdr:col>13</xdr:col>
      <xdr:colOff>172085</xdr:colOff>
      <xdr:row>36</xdr:row>
      <xdr:rowOff>160020</xdr:rowOff>
    </xdr:to>
    <xdr:sp>
      <xdr:nvSpPr>
        <xdr:cNvPr id="4" name="Rectángulo 3"/>
        <xdr:cNvSpPr/>
      </xdr:nvSpPr>
      <xdr:spPr>
        <a:xfrm>
          <a:off x="4162425" y="6451600"/>
          <a:ext cx="1345565" cy="552450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s-E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s-ES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8</xdr:col>
      <xdr:colOff>224155</xdr:colOff>
      <xdr:row>10</xdr:row>
      <xdr:rowOff>95250</xdr:rowOff>
    </xdr:to>
    <xdr:pic>
      <xdr:nvPicPr>
        <xdr:cNvPr id="2" name="Imagen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00150" y="571500"/>
          <a:ext cx="3824605" cy="1428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@xyz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9" Type="http://schemas.openxmlformats.org/officeDocument/2006/relationships/hyperlink" Target="mailto:luluna@xyz.com" TargetMode="External"/><Relationship Id="rId8" Type="http://schemas.openxmlformats.org/officeDocument/2006/relationships/hyperlink" Target="mailto:lehernandez@xyz.com" TargetMode="External"/><Relationship Id="rId7" Type="http://schemas.openxmlformats.org/officeDocument/2006/relationships/hyperlink" Target="mailto:jeevanan@xyz.com" TargetMode="External"/><Relationship Id="rId6" Type="http://schemas.openxmlformats.org/officeDocument/2006/relationships/hyperlink" Target="mailto:feespino@xyz.com" TargetMode="External"/><Relationship Id="rId5" Type="http://schemas.openxmlformats.org/officeDocument/2006/relationships/hyperlink" Target="mailto:piespino@xyz.com" TargetMode="External"/><Relationship Id="rId4" Type="http://schemas.openxmlformats.org/officeDocument/2006/relationships/hyperlink" Target="mailto:erencalada@xyz.com" TargetMode="External"/><Relationship Id="rId3" Type="http://schemas.openxmlformats.org/officeDocument/2006/relationships/hyperlink" Target="mailto:emechegaray@xyz.com" TargetMode="External"/><Relationship Id="rId2" Type="http://schemas.openxmlformats.org/officeDocument/2006/relationships/hyperlink" Target="mailto:alchavez@xyz.com" TargetMode="External"/><Relationship Id="rId18" Type="http://schemas.openxmlformats.org/officeDocument/2006/relationships/hyperlink" Target="mailto:vivasquez@xyz.com" TargetMode="External"/><Relationship Id="rId17" Type="http://schemas.openxmlformats.org/officeDocument/2006/relationships/hyperlink" Target="mailto:kevallejos@xyz.com" TargetMode="External"/><Relationship Id="rId16" Type="http://schemas.openxmlformats.org/officeDocument/2006/relationships/hyperlink" Target="mailto:ketoledo@xyz.com" TargetMode="External"/><Relationship Id="rId15" Type="http://schemas.openxmlformats.org/officeDocument/2006/relationships/hyperlink" Target="mailto:gusiguas@xyz.com" TargetMode="External"/><Relationship Id="rId14" Type="http://schemas.openxmlformats.org/officeDocument/2006/relationships/hyperlink" Target="mailto:larevatta@xyz.com" TargetMode="External"/><Relationship Id="rId13" Type="http://schemas.openxmlformats.org/officeDocument/2006/relationships/hyperlink" Target="mailto:rorevatta@xyz.com" TargetMode="External"/><Relationship Id="rId12" Type="http://schemas.openxmlformats.org/officeDocument/2006/relationships/hyperlink" Target="mailto:wirejas@xyz.com" TargetMode="External"/><Relationship Id="rId11" Type="http://schemas.openxmlformats.org/officeDocument/2006/relationships/hyperlink" Target="mailto:juramirez@xyz.com" TargetMode="External"/><Relationship Id="rId10" Type="http://schemas.openxmlformats.org/officeDocument/2006/relationships/hyperlink" Target="mailto:lumozo@xyz.com" TargetMode="External"/><Relationship Id="rId1" Type="http://schemas.openxmlformats.org/officeDocument/2006/relationships/hyperlink" Target="mailto:peberrocal@xyz.co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Z42"/>
  <sheetViews>
    <sheetView topLeftCell="C5" workbookViewId="0">
      <selection activeCell="D19" sqref="D19"/>
    </sheetView>
  </sheetViews>
  <sheetFormatPr defaultColWidth="11.3714285714286" defaultRowHeight="15"/>
  <cols>
    <col min="1" max="1" width="4.24761904761905" customWidth="1"/>
    <col min="2" max="3" width="43.247619047619" customWidth="1"/>
    <col min="4" max="4" width="53.8761904761905" customWidth="1"/>
    <col min="9" max="9" width="6.12380952380952" customWidth="1"/>
    <col min="10" max="13" width="12" customWidth="1"/>
    <col min="14" max="14" width="9.37142857142857" customWidth="1"/>
    <col min="22" max="22" width="21.6285714285714" customWidth="1"/>
  </cols>
  <sheetData>
    <row r="2" spans="2:4">
      <c r="B2" t="s">
        <v>0</v>
      </c>
      <c r="C2" t="s">
        <v>1</v>
      </c>
      <c r="D2" t="s">
        <v>2</v>
      </c>
    </row>
    <row r="5" ht="18.75" spans="2:4">
      <c r="B5" s="315" t="s">
        <v>3</v>
      </c>
      <c r="C5" s="316" t="s">
        <v>4</v>
      </c>
      <c r="D5" s="315" t="s">
        <v>5</v>
      </c>
    </row>
    <row r="6" spans="1:26">
      <c r="A6" s="317">
        <v>1</v>
      </c>
      <c r="B6" s="318" t="s">
        <v>6</v>
      </c>
      <c r="C6" s="318" t="s">
        <v>7</v>
      </c>
      <c r="D6" s="318" t="s">
        <v>8</v>
      </c>
      <c r="F6" s="318" t="s">
        <v>9</v>
      </c>
      <c r="J6">
        <f>FIND(",",F6)</f>
        <v>19</v>
      </c>
      <c r="K6" t="str">
        <f>MID(F6,J6+2,10)</f>
        <v>JULIO LUCI</v>
      </c>
      <c r="L6">
        <f>FIND(" ",K6)</f>
        <v>6</v>
      </c>
      <c r="M6" t="str">
        <f>MID(K6,1,L6)</f>
        <v>JULIO </v>
      </c>
      <c r="N6">
        <f>FIND(" ",F6)</f>
        <v>9</v>
      </c>
      <c r="O6" t="str">
        <f>MID(F6,1,N6)</f>
        <v>APUMAITA </v>
      </c>
      <c r="Q6" t="str">
        <f>LOWER(M6)</f>
        <v>julio </v>
      </c>
      <c r="R6" t="str">
        <f>LOWER(O6)</f>
        <v>apumaita </v>
      </c>
      <c r="S6" t="str">
        <f>LEFT(Q6,2)</f>
        <v>ju</v>
      </c>
      <c r="T6" t="str">
        <f>CONCATENATE(S6,R6)</f>
        <v>juapumaita </v>
      </c>
      <c r="U6" s="327" t="s">
        <v>10</v>
      </c>
      <c r="V6" t="str">
        <f>CONCATENATE(T6,U6)</f>
        <v>juapumaita @xyz.com</v>
      </c>
      <c r="W6">
        <f>FIND(" ",T6)</f>
        <v>11</v>
      </c>
      <c r="X6" t="str">
        <f>MID(T6,1,W6-1)</f>
        <v>juapumaita</v>
      </c>
      <c r="Z6" t="str">
        <f>CONCATENATE(X6,U6)</f>
        <v>juapumaita@xyz.com</v>
      </c>
    </row>
    <row r="7" spans="1:26">
      <c r="A7" s="317">
        <v>2</v>
      </c>
      <c r="B7" s="318" t="s">
        <v>11</v>
      </c>
      <c r="C7" s="318" t="s">
        <v>12</v>
      </c>
      <c r="D7" s="318" t="s">
        <v>13</v>
      </c>
      <c r="F7" s="318" t="s">
        <v>14</v>
      </c>
      <c r="J7">
        <f t="shared" ref="J7:J23" si="0">FIND(",",F7)</f>
        <v>14</v>
      </c>
      <c r="K7" t="str">
        <f t="shared" ref="K7:K23" si="1">MID(F7,J7+2,10)</f>
        <v>THIAGO ARM</v>
      </c>
      <c r="L7">
        <f t="shared" ref="L7:L23" si="2">FIND(" ",K7)</f>
        <v>7</v>
      </c>
      <c r="M7" t="str">
        <f t="shared" ref="M7:M23" si="3">MID(K7,1,L7)</f>
        <v>THIAGO </v>
      </c>
      <c r="N7">
        <f t="shared" ref="N7:N23" si="4">FIND(" ",F7)</f>
        <v>8</v>
      </c>
      <c r="O7" t="str">
        <f t="shared" ref="O7:O23" si="5">MID(F7,1,N7)</f>
        <v>CABRERA </v>
      </c>
      <c r="Q7" t="str">
        <f t="shared" ref="Q7:Q23" si="6">LOWER(M7)</f>
        <v>thiago </v>
      </c>
      <c r="R7" t="str">
        <f t="shared" ref="R7:R23" si="7">LOWER(O7)</f>
        <v>cabrera </v>
      </c>
      <c r="S7" t="str">
        <f t="shared" ref="S7:S23" si="8">LEFT(Q7,2)</f>
        <v>th</v>
      </c>
      <c r="T7" t="str">
        <f t="shared" ref="T7:T23" si="9">CONCATENATE(S7,R7)</f>
        <v>thcabrera </v>
      </c>
      <c r="U7" s="327" t="s">
        <v>10</v>
      </c>
      <c r="V7" t="str">
        <f t="shared" ref="V7:V23" si="10">CONCATENATE(T7,U7)</f>
        <v>thcabrera @xyz.com</v>
      </c>
      <c r="W7">
        <f t="shared" ref="W7:W23" si="11">FIND(" ",T7)</f>
        <v>10</v>
      </c>
      <c r="X7" t="str">
        <f t="shared" ref="X7:X23" si="12">MID(T7,1,W7-1)</f>
        <v>thcabrera</v>
      </c>
      <c r="Z7" t="str">
        <f t="shared" ref="Z7:Z23" si="13">CONCATENATE(X7,U7)</f>
        <v>thcabrera@xyz.com</v>
      </c>
    </row>
    <row r="8" spans="1:26">
      <c r="A8" s="317">
        <v>3</v>
      </c>
      <c r="B8" s="318" t="s">
        <v>15</v>
      </c>
      <c r="C8" s="318" t="s">
        <v>16</v>
      </c>
      <c r="D8" s="318" t="s">
        <v>17</v>
      </c>
      <c r="F8" s="318" t="s">
        <v>18</v>
      </c>
      <c r="J8">
        <f t="shared" si="0"/>
        <v>16</v>
      </c>
      <c r="K8" t="str">
        <f t="shared" si="1"/>
        <v>JESUS ANDR</v>
      </c>
      <c r="L8">
        <f t="shared" si="2"/>
        <v>6</v>
      </c>
      <c r="M8" t="str">
        <f t="shared" si="3"/>
        <v>JESUS </v>
      </c>
      <c r="N8">
        <f t="shared" si="4"/>
        <v>8</v>
      </c>
      <c r="O8" t="str">
        <f t="shared" si="5"/>
        <v>CACERES </v>
      </c>
      <c r="Q8" t="str">
        <f t="shared" si="6"/>
        <v>jesus </v>
      </c>
      <c r="R8" t="str">
        <f t="shared" si="7"/>
        <v>caceres </v>
      </c>
      <c r="S8" t="str">
        <f t="shared" si="8"/>
        <v>je</v>
      </c>
      <c r="T8" t="str">
        <f t="shared" si="9"/>
        <v>jecaceres </v>
      </c>
      <c r="U8" s="327" t="s">
        <v>10</v>
      </c>
      <c r="V8" t="str">
        <f t="shared" si="10"/>
        <v>jecaceres @xyz.com</v>
      </c>
      <c r="W8">
        <f t="shared" si="11"/>
        <v>10</v>
      </c>
      <c r="X8" t="str">
        <f t="shared" si="12"/>
        <v>jecaceres</v>
      </c>
      <c r="Z8" t="str">
        <f t="shared" si="13"/>
        <v>jecaceres@xyz.com</v>
      </c>
    </row>
    <row r="9" spans="1:26">
      <c r="A9" s="317">
        <v>4</v>
      </c>
      <c r="B9" s="318" t="s">
        <v>19</v>
      </c>
      <c r="C9" s="318" t="s">
        <v>20</v>
      </c>
      <c r="D9" s="318" t="s">
        <v>21</v>
      </c>
      <c r="F9" s="318" t="s">
        <v>22</v>
      </c>
      <c r="J9">
        <f t="shared" si="0"/>
        <v>18</v>
      </c>
      <c r="K9" t="str">
        <f t="shared" si="1"/>
        <v>LUIS ALBER</v>
      </c>
      <c r="L9">
        <f t="shared" si="2"/>
        <v>5</v>
      </c>
      <c r="M9" t="str">
        <f t="shared" si="3"/>
        <v>LUIS </v>
      </c>
      <c r="N9">
        <f t="shared" si="4"/>
        <v>3</v>
      </c>
      <c r="O9" t="str">
        <f t="shared" si="5"/>
        <v>DE </v>
      </c>
      <c r="Q9" t="str">
        <f t="shared" si="6"/>
        <v>luis </v>
      </c>
      <c r="R9" t="str">
        <f t="shared" si="7"/>
        <v>de </v>
      </c>
      <c r="S9" t="str">
        <f t="shared" si="8"/>
        <v>lu</v>
      </c>
      <c r="T9" t="str">
        <f t="shared" si="9"/>
        <v>lude </v>
      </c>
      <c r="U9" s="327" t="s">
        <v>10</v>
      </c>
      <c r="V9" t="str">
        <f t="shared" si="10"/>
        <v>lude @xyz.com</v>
      </c>
      <c r="W9">
        <f t="shared" si="11"/>
        <v>5</v>
      </c>
      <c r="X9" t="str">
        <f t="shared" si="12"/>
        <v>lude</v>
      </c>
      <c r="Z9" t="str">
        <f t="shared" si="13"/>
        <v>lude@xyz.com</v>
      </c>
    </row>
    <row r="10" spans="1:26">
      <c r="A10" s="317">
        <v>5</v>
      </c>
      <c r="B10" s="318" t="s">
        <v>23</v>
      </c>
      <c r="C10" s="318" t="s">
        <v>24</v>
      </c>
      <c r="D10" s="318" t="s">
        <v>25</v>
      </c>
      <c r="F10" s="318" t="s">
        <v>26</v>
      </c>
      <c r="J10">
        <f t="shared" si="0"/>
        <v>15</v>
      </c>
      <c r="K10" t="str">
        <f t="shared" si="1"/>
        <v> JOSEPH AN</v>
      </c>
      <c r="L10">
        <f t="shared" si="2"/>
        <v>1</v>
      </c>
      <c r="M10" t="str">
        <f t="shared" si="3"/>
        <v> </v>
      </c>
      <c r="N10">
        <f t="shared" si="4"/>
        <v>10</v>
      </c>
      <c r="O10" t="str">
        <f t="shared" si="5"/>
        <v>HERNANDEZ </v>
      </c>
      <c r="Q10" t="str">
        <f t="shared" si="6"/>
        <v> </v>
      </c>
      <c r="R10" t="str">
        <f t="shared" si="7"/>
        <v>hernandez </v>
      </c>
      <c r="S10" t="str">
        <f t="shared" si="8"/>
        <v> </v>
      </c>
      <c r="T10" t="str">
        <f t="shared" si="9"/>
        <v> hernandez </v>
      </c>
      <c r="U10" s="327" t="s">
        <v>10</v>
      </c>
      <c r="V10" t="str">
        <f t="shared" si="10"/>
        <v> hernandez @xyz.com</v>
      </c>
      <c r="W10">
        <f t="shared" si="11"/>
        <v>1</v>
      </c>
      <c r="X10" t="str">
        <f t="shared" si="12"/>
        <v/>
      </c>
      <c r="Z10" t="str">
        <f t="shared" si="13"/>
        <v>@xyz.com</v>
      </c>
    </row>
    <row r="11" spans="1:26">
      <c r="A11" s="317">
        <v>6</v>
      </c>
      <c r="B11" s="318" t="s">
        <v>27</v>
      </c>
      <c r="C11" s="318" t="s">
        <v>28</v>
      </c>
      <c r="D11" s="318" t="s">
        <v>29</v>
      </c>
      <c r="F11" s="318" t="s">
        <v>30</v>
      </c>
      <c r="J11">
        <f t="shared" si="0"/>
        <v>13</v>
      </c>
      <c r="K11" t="str">
        <f t="shared" si="1"/>
        <v>VICTOR DAN</v>
      </c>
      <c r="L11">
        <f t="shared" si="2"/>
        <v>7</v>
      </c>
      <c r="M11" t="str">
        <f t="shared" si="3"/>
        <v>VICTOR </v>
      </c>
      <c r="N11">
        <f t="shared" si="4"/>
        <v>7</v>
      </c>
      <c r="O11" t="str">
        <f t="shared" si="5"/>
        <v>JUAREZ </v>
      </c>
      <c r="Q11" t="str">
        <f t="shared" si="6"/>
        <v>victor </v>
      </c>
      <c r="R11" t="str">
        <f t="shared" si="7"/>
        <v>juarez </v>
      </c>
      <c r="S11" t="str">
        <f t="shared" si="8"/>
        <v>vi</v>
      </c>
      <c r="T11" t="str">
        <f t="shared" si="9"/>
        <v>vijuarez </v>
      </c>
      <c r="U11" s="327" t="s">
        <v>10</v>
      </c>
      <c r="V11" t="str">
        <f t="shared" si="10"/>
        <v>vijuarez @xyz.com</v>
      </c>
      <c r="W11">
        <f t="shared" si="11"/>
        <v>9</v>
      </c>
      <c r="X11" t="str">
        <f t="shared" si="12"/>
        <v>vijuarez</v>
      </c>
      <c r="Z11" t="str">
        <f t="shared" si="13"/>
        <v>vijuarez@xyz.com</v>
      </c>
    </row>
    <row r="12" spans="1:26">
      <c r="A12" s="317">
        <v>7</v>
      </c>
      <c r="B12" s="318" t="s">
        <v>31</v>
      </c>
      <c r="C12" s="318" t="s">
        <v>32</v>
      </c>
      <c r="D12" s="318" t="s">
        <v>33</v>
      </c>
      <c r="F12" s="318" t="s">
        <v>34</v>
      </c>
      <c r="J12">
        <f t="shared" si="0"/>
        <v>12</v>
      </c>
      <c r="K12" t="str">
        <f t="shared" si="1"/>
        <v>VICENTE MI</v>
      </c>
      <c r="L12">
        <f t="shared" si="2"/>
        <v>8</v>
      </c>
      <c r="M12" t="str">
        <f t="shared" si="3"/>
        <v>VICENTE </v>
      </c>
      <c r="N12">
        <f t="shared" si="4"/>
        <v>6</v>
      </c>
      <c r="O12" t="str">
        <f t="shared" si="5"/>
        <v>MEJIA </v>
      </c>
      <c r="Q12" t="str">
        <f t="shared" si="6"/>
        <v>vicente </v>
      </c>
      <c r="R12" t="str">
        <f t="shared" si="7"/>
        <v>mejia </v>
      </c>
      <c r="S12" t="str">
        <f t="shared" si="8"/>
        <v>vi</v>
      </c>
      <c r="T12" t="str">
        <f t="shared" si="9"/>
        <v>vimejia </v>
      </c>
      <c r="U12" s="327" t="s">
        <v>10</v>
      </c>
      <c r="V12" t="str">
        <f t="shared" si="10"/>
        <v>vimejia @xyz.com</v>
      </c>
      <c r="W12">
        <f t="shared" si="11"/>
        <v>8</v>
      </c>
      <c r="X12" t="str">
        <f t="shared" si="12"/>
        <v>vimejia</v>
      </c>
      <c r="Z12" t="str">
        <f t="shared" si="13"/>
        <v>vimejia@xyz.com</v>
      </c>
    </row>
    <row r="13" spans="1:26">
      <c r="A13" s="317">
        <v>8</v>
      </c>
      <c r="B13" s="318" t="s">
        <v>35</v>
      </c>
      <c r="C13" s="318" t="s">
        <v>36</v>
      </c>
      <c r="D13" s="318" t="s">
        <v>37</v>
      </c>
      <c r="F13" s="318" t="s">
        <v>38</v>
      </c>
      <c r="J13">
        <f t="shared" si="0"/>
        <v>14</v>
      </c>
      <c r="K13" t="str">
        <f t="shared" si="1"/>
        <v>FERNANDO A</v>
      </c>
      <c r="L13">
        <f t="shared" si="2"/>
        <v>9</v>
      </c>
      <c r="M13" t="str">
        <f t="shared" si="3"/>
        <v>FERNANDO </v>
      </c>
      <c r="N13">
        <f t="shared" si="4"/>
        <v>5</v>
      </c>
      <c r="O13" t="str">
        <f t="shared" si="5"/>
        <v>MEZA </v>
      </c>
      <c r="Q13" t="str">
        <f t="shared" si="6"/>
        <v>fernando </v>
      </c>
      <c r="R13" t="str">
        <f t="shared" si="7"/>
        <v>meza </v>
      </c>
      <c r="S13" t="str">
        <f t="shared" si="8"/>
        <v>fe</v>
      </c>
      <c r="T13" t="str">
        <f t="shared" si="9"/>
        <v>femeza </v>
      </c>
      <c r="U13" s="327" t="s">
        <v>10</v>
      </c>
      <c r="V13" t="str">
        <f t="shared" si="10"/>
        <v>femeza @xyz.com</v>
      </c>
      <c r="W13">
        <f t="shared" si="11"/>
        <v>7</v>
      </c>
      <c r="X13" t="str">
        <f t="shared" si="12"/>
        <v>femeza</v>
      </c>
      <c r="Z13" t="str">
        <f t="shared" si="13"/>
        <v>femeza@xyz.com</v>
      </c>
    </row>
    <row r="14" spans="1:26">
      <c r="A14" s="317">
        <v>9</v>
      </c>
      <c r="B14" s="318" t="s">
        <v>39</v>
      </c>
      <c r="C14" s="318" t="s">
        <v>40</v>
      </c>
      <c r="D14" s="318" t="s">
        <v>41</v>
      </c>
      <c r="F14" s="318" t="s">
        <v>42</v>
      </c>
      <c r="J14">
        <f t="shared" si="0"/>
        <v>18</v>
      </c>
      <c r="K14" t="str">
        <f t="shared" si="1"/>
        <v>JUAN DAVID</v>
      </c>
      <c r="L14">
        <f t="shared" si="2"/>
        <v>5</v>
      </c>
      <c r="M14" t="str">
        <f t="shared" si="3"/>
        <v>JUAN </v>
      </c>
      <c r="N14">
        <f t="shared" si="4"/>
        <v>8</v>
      </c>
      <c r="O14" t="str">
        <f t="shared" si="5"/>
        <v>MISAICO </v>
      </c>
      <c r="Q14" t="str">
        <f t="shared" si="6"/>
        <v>juan </v>
      </c>
      <c r="R14" t="str">
        <f t="shared" si="7"/>
        <v>misaico </v>
      </c>
      <c r="S14" t="str">
        <f t="shared" si="8"/>
        <v>ju</v>
      </c>
      <c r="T14" t="str">
        <f t="shared" si="9"/>
        <v>jumisaico </v>
      </c>
      <c r="U14" s="327" t="s">
        <v>10</v>
      </c>
      <c r="V14" t="str">
        <f t="shared" si="10"/>
        <v>jumisaico @xyz.com</v>
      </c>
      <c r="W14">
        <f t="shared" si="11"/>
        <v>10</v>
      </c>
      <c r="X14" t="str">
        <f t="shared" si="12"/>
        <v>jumisaico</v>
      </c>
      <c r="Z14" t="str">
        <f t="shared" si="13"/>
        <v>jumisaico@xyz.com</v>
      </c>
    </row>
    <row r="15" spans="1:26">
      <c r="A15" s="317">
        <v>10</v>
      </c>
      <c r="B15" s="318" t="s">
        <v>43</v>
      </c>
      <c r="C15" s="318" t="s">
        <v>44</v>
      </c>
      <c r="D15" s="318" t="s">
        <v>45</v>
      </c>
      <c r="F15" s="318" t="s">
        <v>46</v>
      </c>
      <c r="J15">
        <f t="shared" si="0"/>
        <v>18</v>
      </c>
      <c r="K15" t="str">
        <f t="shared" si="1"/>
        <v>JACKXEL ED</v>
      </c>
      <c r="L15">
        <f t="shared" si="2"/>
        <v>8</v>
      </c>
      <c r="M15" t="str">
        <f t="shared" si="3"/>
        <v>JACKXEL </v>
      </c>
      <c r="N15">
        <f t="shared" si="4"/>
        <v>6</v>
      </c>
      <c r="O15" t="str">
        <f t="shared" si="5"/>
        <v>MUÑOZ </v>
      </c>
      <c r="Q15" t="str">
        <f t="shared" si="6"/>
        <v>jackxel </v>
      </c>
      <c r="R15" t="str">
        <f t="shared" si="7"/>
        <v>muñoz </v>
      </c>
      <c r="S15" t="str">
        <f t="shared" si="8"/>
        <v>ja</v>
      </c>
      <c r="T15" t="str">
        <f t="shared" si="9"/>
        <v>jamuñoz </v>
      </c>
      <c r="U15" s="327" t="s">
        <v>10</v>
      </c>
      <c r="V15" t="str">
        <f t="shared" si="10"/>
        <v>jamuñoz @xyz.com</v>
      </c>
      <c r="W15">
        <f t="shared" si="11"/>
        <v>8</v>
      </c>
      <c r="X15" t="str">
        <f t="shared" si="12"/>
        <v>jamuñoz</v>
      </c>
      <c r="Z15" t="str">
        <f t="shared" si="13"/>
        <v>jamuñoz@xyz.com</v>
      </c>
    </row>
    <row r="16" spans="1:26">
      <c r="A16" s="317">
        <v>11</v>
      </c>
      <c r="B16" s="318" t="s">
        <v>47</v>
      </c>
      <c r="C16" s="318" t="s">
        <v>48</v>
      </c>
      <c r="D16" s="318" t="s">
        <v>49</v>
      </c>
      <c r="F16" s="318" t="s">
        <v>50</v>
      </c>
      <c r="J16">
        <f t="shared" si="0"/>
        <v>14</v>
      </c>
      <c r="K16" t="str">
        <f t="shared" si="1"/>
        <v>CESAR LUIS</v>
      </c>
      <c r="L16">
        <f t="shared" si="2"/>
        <v>6</v>
      </c>
      <c r="M16" t="str">
        <f t="shared" si="3"/>
        <v>CESAR </v>
      </c>
      <c r="N16">
        <f t="shared" si="4"/>
        <v>5</v>
      </c>
      <c r="O16" t="str">
        <f t="shared" si="5"/>
        <v>PEÑA </v>
      </c>
      <c r="Q16" t="str">
        <f t="shared" si="6"/>
        <v>cesar </v>
      </c>
      <c r="R16" t="str">
        <f t="shared" si="7"/>
        <v>peña </v>
      </c>
      <c r="S16" t="str">
        <f t="shared" si="8"/>
        <v>ce</v>
      </c>
      <c r="T16" t="str">
        <f t="shared" si="9"/>
        <v>cepeña </v>
      </c>
      <c r="U16" s="327" t="s">
        <v>10</v>
      </c>
      <c r="V16" t="str">
        <f t="shared" si="10"/>
        <v>cepeña @xyz.com</v>
      </c>
      <c r="W16">
        <f t="shared" si="11"/>
        <v>7</v>
      </c>
      <c r="X16" t="str">
        <f t="shared" si="12"/>
        <v>cepeña</v>
      </c>
      <c r="Z16" t="str">
        <f t="shared" si="13"/>
        <v>cepeña@xyz.com</v>
      </c>
    </row>
    <row r="17" spans="1:26">
      <c r="A17" s="317">
        <v>12</v>
      </c>
      <c r="B17" s="318" t="s">
        <v>51</v>
      </c>
      <c r="C17" s="318" t="s">
        <v>52</v>
      </c>
      <c r="D17" s="318" t="s">
        <v>53</v>
      </c>
      <c r="F17" s="318" t="s">
        <v>54</v>
      </c>
      <c r="J17">
        <f t="shared" si="0"/>
        <v>13</v>
      </c>
      <c r="K17" t="str">
        <f t="shared" si="1"/>
        <v>UBALDO FRA</v>
      </c>
      <c r="L17">
        <f t="shared" si="2"/>
        <v>7</v>
      </c>
      <c r="M17" t="str">
        <f t="shared" si="3"/>
        <v>UBALDO </v>
      </c>
      <c r="N17">
        <f t="shared" si="4"/>
        <v>5</v>
      </c>
      <c r="O17" t="str">
        <f t="shared" si="5"/>
        <v>SOSA </v>
      </c>
      <c r="Q17" t="str">
        <f t="shared" si="6"/>
        <v>ubaldo </v>
      </c>
      <c r="R17" t="str">
        <f t="shared" si="7"/>
        <v>sosa </v>
      </c>
      <c r="S17" t="str">
        <f t="shared" si="8"/>
        <v>ub</v>
      </c>
      <c r="T17" t="str">
        <f t="shared" si="9"/>
        <v>ubsosa </v>
      </c>
      <c r="U17" s="327" t="s">
        <v>10</v>
      </c>
      <c r="V17" t="str">
        <f t="shared" si="10"/>
        <v>ubsosa @xyz.com</v>
      </c>
      <c r="W17">
        <f t="shared" si="11"/>
        <v>7</v>
      </c>
      <c r="X17" t="str">
        <f t="shared" si="12"/>
        <v>ubsosa</v>
      </c>
      <c r="Z17" t="str">
        <f t="shared" si="13"/>
        <v>ubsosa@xyz.com</v>
      </c>
    </row>
    <row r="18" spans="1:26">
      <c r="A18" s="317">
        <v>13</v>
      </c>
      <c r="B18" s="318" t="s">
        <v>55</v>
      </c>
      <c r="C18" s="319" t="s">
        <v>56</v>
      </c>
      <c r="D18" s="320"/>
      <c r="F18" s="318"/>
      <c r="J18" t="e">
        <f t="shared" si="0"/>
        <v>#VALUE!</v>
      </c>
      <c r="K18" t="e">
        <f t="shared" si="1"/>
        <v>#VALUE!</v>
      </c>
      <c r="L18" t="e">
        <f t="shared" si="2"/>
        <v>#VALUE!</v>
      </c>
      <c r="M18" t="e">
        <f t="shared" si="3"/>
        <v>#VALUE!</v>
      </c>
      <c r="N18" t="e">
        <f t="shared" si="4"/>
        <v>#VALUE!</v>
      </c>
      <c r="O18" t="e">
        <f t="shared" si="5"/>
        <v>#VALUE!</v>
      </c>
      <c r="Q18" t="e">
        <f t="shared" si="6"/>
        <v>#VALUE!</v>
      </c>
      <c r="R18" t="e">
        <f t="shared" si="7"/>
        <v>#VALUE!</v>
      </c>
      <c r="S18" t="e">
        <f t="shared" si="8"/>
        <v>#VALUE!</v>
      </c>
      <c r="T18" t="e">
        <f t="shared" si="9"/>
        <v>#VALUE!</v>
      </c>
      <c r="U18" s="327" t="s">
        <v>10</v>
      </c>
      <c r="V18" t="e">
        <f t="shared" si="10"/>
        <v>#VALUE!</v>
      </c>
      <c r="W18" t="e">
        <f t="shared" si="11"/>
        <v>#VALUE!</v>
      </c>
      <c r="X18" t="e">
        <f t="shared" si="12"/>
        <v>#VALUE!</v>
      </c>
      <c r="Z18" t="e">
        <f t="shared" si="13"/>
        <v>#VALUE!</v>
      </c>
    </row>
    <row r="19" spans="1:26">
      <c r="A19" s="317">
        <v>14</v>
      </c>
      <c r="B19" s="318" t="s">
        <v>57</v>
      </c>
      <c r="C19" s="318" t="s">
        <v>58</v>
      </c>
      <c r="D19" s="321"/>
      <c r="F19" s="318"/>
      <c r="J19" t="e">
        <f t="shared" si="0"/>
        <v>#VALUE!</v>
      </c>
      <c r="K19" t="e">
        <f t="shared" si="1"/>
        <v>#VALUE!</v>
      </c>
      <c r="L19" t="e">
        <f t="shared" si="2"/>
        <v>#VALUE!</v>
      </c>
      <c r="M19" t="e">
        <f t="shared" si="3"/>
        <v>#VALUE!</v>
      </c>
      <c r="N19" t="e">
        <f t="shared" si="4"/>
        <v>#VALUE!</v>
      </c>
      <c r="O19" t="e">
        <f t="shared" si="5"/>
        <v>#VALUE!</v>
      </c>
      <c r="Q19" t="e">
        <f t="shared" si="6"/>
        <v>#VALUE!</v>
      </c>
      <c r="R19" t="e">
        <f t="shared" si="7"/>
        <v>#VALUE!</v>
      </c>
      <c r="S19" t="e">
        <f t="shared" si="8"/>
        <v>#VALUE!</v>
      </c>
      <c r="T19" t="e">
        <f t="shared" si="9"/>
        <v>#VALUE!</v>
      </c>
      <c r="U19" s="327" t="s">
        <v>10</v>
      </c>
      <c r="V19" t="e">
        <f t="shared" si="10"/>
        <v>#VALUE!</v>
      </c>
      <c r="W19" t="e">
        <f t="shared" si="11"/>
        <v>#VALUE!</v>
      </c>
      <c r="X19" t="e">
        <f t="shared" si="12"/>
        <v>#VALUE!</v>
      </c>
      <c r="Z19" t="e">
        <f t="shared" si="13"/>
        <v>#VALUE!</v>
      </c>
    </row>
    <row r="20" spans="1:26">
      <c r="A20" s="317">
        <v>15</v>
      </c>
      <c r="B20" s="321"/>
      <c r="C20" s="318" t="s">
        <v>59</v>
      </c>
      <c r="D20" s="321"/>
      <c r="F20" s="318"/>
      <c r="J20" t="e">
        <f t="shared" si="0"/>
        <v>#VALUE!</v>
      </c>
      <c r="K20" t="e">
        <f t="shared" si="1"/>
        <v>#VALUE!</v>
      </c>
      <c r="L20" t="e">
        <f t="shared" si="2"/>
        <v>#VALUE!</v>
      </c>
      <c r="M20" t="e">
        <f t="shared" si="3"/>
        <v>#VALUE!</v>
      </c>
      <c r="N20" t="e">
        <f t="shared" si="4"/>
        <v>#VALUE!</v>
      </c>
      <c r="O20" t="e">
        <f t="shared" si="5"/>
        <v>#VALUE!</v>
      </c>
      <c r="Q20" t="e">
        <f t="shared" si="6"/>
        <v>#VALUE!</v>
      </c>
      <c r="R20" t="e">
        <f t="shared" si="7"/>
        <v>#VALUE!</v>
      </c>
      <c r="S20" t="e">
        <f t="shared" si="8"/>
        <v>#VALUE!</v>
      </c>
      <c r="T20" t="e">
        <f t="shared" si="9"/>
        <v>#VALUE!</v>
      </c>
      <c r="U20" s="327" t="s">
        <v>10</v>
      </c>
      <c r="V20" t="e">
        <f t="shared" si="10"/>
        <v>#VALUE!</v>
      </c>
      <c r="W20" t="e">
        <f t="shared" si="11"/>
        <v>#VALUE!</v>
      </c>
      <c r="X20" t="e">
        <f t="shared" si="12"/>
        <v>#VALUE!</v>
      </c>
      <c r="Z20" t="e">
        <f t="shared" si="13"/>
        <v>#VALUE!</v>
      </c>
    </row>
    <row r="21" spans="1:26">
      <c r="A21" s="317">
        <v>16</v>
      </c>
      <c r="B21" s="322"/>
      <c r="C21" s="319" t="s">
        <v>60</v>
      </c>
      <c r="D21" s="321"/>
      <c r="F21" s="319"/>
      <c r="J21" t="e">
        <f t="shared" si="0"/>
        <v>#VALUE!</v>
      </c>
      <c r="K21" t="e">
        <f t="shared" si="1"/>
        <v>#VALUE!</v>
      </c>
      <c r="L21" t="e">
        <f t="shared" si="2"/>
        <v>#VALUE!</v>
      </c>
      <c r="M21" t="e">
        <f t="shared" si="3"/>
        <v>#VALUE!</v>
      </c>
      <c r="N21" t="e">
        <f t="shared" si="4"/>
        <v>#VALUE!</v>
      </c>
      <c r="O21" t="e">
        <f t="shared" si="5"/>
        <v>#VALUE!</v>
      </c>
      <c r="Q21" t="e">
        <f t="shared" si="6"/>
        <v>#VALUE!</v>
      </c>
      <c r="R21" t="e">
        <f t="shared" si="7"/>
        <v>#VALUE!</v>
      </c>
      <c r="S21" t="e">
        <f t="shared" si="8"/>
        <v>#VALUE!</v>
      </c>
      <c r="T21" t="e">
        <f t="shared" si="9"/>
        <v>#VALUE!</v>
      </c>
      <c r="U21" s="327" t="s">
        <v>10</v>
      </c>
      <c r="V21" t="e">
        <f t="shared" si="10"/>
        <v>#VALUE!</v>
      </c>
      <c r="W21" t="e">
        <f t="shared" si="11"/>
        <v>#VALUE!</v>
      </c>
      <c r="X21" t="e">
        <f t="shared" si="12"/>
        <v>#VALUE!</v>
      </c>
      <c r="Z21" t="e">
        <f t="shared" si="13"/>
        <v>#VALUE!</v>
      </c>
    </row>
    <row r="22" spans="1:26">
      <c r="A22" s="317">
        <v>17</v>
      </c>
      <c r="B22" s="321"/>
      <c r="C22" s="322"/>
      <c r="D22" s="321"/>
      <c r="F22" s="322"/>
      <c r="J22" t="e">
        <f t="shared" si="0"/>
        <v>#VALUE!</v>
      </c>
      <c r="K22" t="e">
        <f t="shared" si="1"/>
        <v>#VALUE!</v>
      </c>
      <c r="L22" t="e">
        <f t="shared" si="2"/>
        <v>#VALUE!</v>
      </c>
      <c r="M22" t="e">
        <f t="shared" si="3"/>
        <v>#VALUE!</v>
      </c>
      <c r="N22" t="e">
        <f t="shared" si="4"/>
        <v>#VALUE!</v>
      </c>
      <c r="O22" t="e">
        <f t="shared" si="5"/>
        <v>#VALUE!</v>
      </c>
      <c r="Q22" t="e">
        <f t="shared" si="6"/>
        <v>#VALUE!</v>
      </c>
      <c r="R22" t="e">
        <f t="shared" si="7"/>
        <v>#VALUE!</v>
      </c>
      <c r="S22" t="e">
        <f t="shared" si="8"/>
        <v>#VALUE!</v>
      </c>
      <c r="T22" t="e">
        <f t="shared" si="9"/>
        <v>#VALUE!</v>
      </c>
      <c r="U22" s="327" t="s">
        <v>10</v>
      </c>
      <c r="V22" t="e">
        <f t="shared" si="10"/>
        <v>#VALUE!</v>
      </c>
      <c r="W22" t="e">
        <f t="shared" si="11"/>
        <v>#VALUE!</v>
      </c>
      <c r="X22" t="e">
        <f t="shared" si="12"/>
        <v>#VALUE!</v>
      </c>
      <c r="Z22" t="e">
        <f t="shared" si="13"/>
        <v>#VALUE!</v>
      </c>
    </row>
    <row r="23" spans="1:26">
      <c r="A23" s="317">
        <v>18</v>
      </c>
      <c r="B23" s="321"/>
      <c r="C23" s="322"/>
      <c r="D23" s="321"/>
      <c r="F23" s="322"/>
      <c r="J23" t="e">
        <f t="shared" si="0"/>
        <v>#VALUE!</v>
      </c>
      <c r="K23" t="e">
        <f t="shared" si="1"/>
        <v>#VALUE!</v>
      </c>
      <c r="L23" t="e">
        <f t="shared" si="2"/>
        <v>#VALUE!</v>
      </c>
      <c r="M23" t="e">
        <f t="shared" si="3"/>
        <v>#VALUE!</v>
      </c>
      <c r="N23" t="e">
        <f t="shared" si="4"/>
        <v>#VALUE!</v>
      </c>
      <c r="O23" t="e">
        <f t="shared" si="5"/>
        <v>#VALUE!</v>
      </c>
      <c r="Q23" t="e">
        <f t="shared" si="6"/>
        <v>#VALUE!</v>
      </c>
      <c r="R23" t="e">
        <f t="shared" si="7"/>
        <v>#VALUE!</v>
      </c>
      <c r="S23" t="e">
        <f t="shared" si="8"/>
        <v>#VALUE!</v>
      </c>
      <c r="T23" t="e">
        <f t="shared" si="9"/>
        <v>#VALUE!</v>
      </c>
      <c r="U23" s="327" t="s">
        <v>10</v>
      </c>
      <c r="V23" t="e">
        <f t="shared" si="10"/>
        <v>#VALUE!</v>
      </c>
      <c r="W23" t="e">
        <f t="shared" si="11"/>
        <v>#VALUE!</v>
      </c>
      <c r="X23" t="e">
        <f t="shared" si="12"/>
        <v>#VALUE!</v>
      </c>
      <c r="Z23" t="e">
        <f t="shared" si="13"/>
        <v>#VALUE!</v>
      </c>
    </row>
    <row r="24" spans="1:4">
      <c r="A24" s="317">
        <v>19</v>
      </c>
      <c r="B24" s="323"/>
      <c r="C24" s="322"/>
      <c r="D24" s="324"/>
    </row>
    <row r="25" spans="1:4">
      <c r="A25" s="317">
        <v>20</v>
      </c>
      <c r="B25" s="323"/>
      <c r="D25" s="323"/>
    </row>
    <row r="26" spans="1:4">
      <c r="A26" s="317">
        <v>21</v>
      </c>
      <c r="B26" s="317"/>
      <c r="C26" s="317"/>
      <c r="D26" s="317"/>
    </row>
    <row r="27" spans="1:4">
      <c r="A27" s="317">
        <v>22</v>
      </c>
      <c r="B27" s="317"/>
      <c r="C27" s="317"/>
      <c r="D27" s="317"/>
    </row>
    <row r="28" spans="1:4">
      <c r="A28" s="317">
        <v>23</v>
      </c>
      <c r="B28" s="317"/>
      <c r="C28" s="317"/>
      <c r="D28" s="317"/>
    </row>
    <row r="29" spans="1:4">
      <c r="A29" s="317">
        <v>24</v>
      </c>
      <c r="B29" s="317"/>
      <c r="C29" s="325"/>
      <c r="D29" s="317"/>
    </row>
    <row r="30" spans="1:4">
      <c r="A30" s="317">
        <v>25</v>
      </c>
      <c r="B30" s="317"/>
      <c r="C30" s="317"/>
      <c r="D30" s="317"/>
    </row>
    <row r="31" spans="1:4">
      <c r="A31" s="317">
        <v>26</v>
      </c>
      <c r="B31" s="317"/>
      <c r="C31" s="317"/>
      <c r="D31" s="317"/>
    </row>
    <row r="32" spans="1:4">
      <c r="A32" s="317">
        <v>27</v>
      </c>
      <c r="B32" s="317"/>
      <c r="C32" s="317"/>
      <c r="D32" s="317"/>
    </row>
    <row r="33" spans="1:4">
      <c r="A33" s="317">
        <v>28</v>
      </c>
      <c r="B33" s="317"/>
      <c r="C33" s="317"/>
      <c r="D33" s="317"/>
    </row>
    <row r="34" spans="1:4">
      <c r="A34" s="317">
        <v>29</v>
      </c>
      <c r="B34" s="317"/>
      <c r="C34" s="317"/>
      <c r="D34" s="317"/>
    </row>
    <row r="35" spans="1:4">
      <c r="A35" s="317">
        <v>30</v>
      </c>
      <c r="B35" s="317"/>
      <c r="C35" s="317"/>
      <c r="D35" s="317"/>
    </row>
    <row r="36" spans="1:4">
      <c r="A36" s="317">
        <v>31</v>
      </c>
      <c r="B36" s="317"/>
      <c r="C36" s="317"/>
      <c r="D36" s="317"/>
    </row>
    <row r="37" spans="1:4">
      <c r="A37" s="317">
        <v>32</v>
      </c>
      <c r="B37" s="317"/>
      <c r="C37" s="317"/>
      <c r="D37" s="317"/>
    </row>
    <row r="38" spans="1:4">
      <c r="A38" s="317">
        <v>33</v>
      </c>
      <c r="B38" s="317"/>
      <c r="C38" s="317"/>
      <c r="D38" s="317"/>
    </row>
    <row r="39" spans="1:4">
      <c r="A39" s="317">
        <v>34</v>
      </c>
      <c r="B39" s="317"/>
      <c r="C39" s="317"/>
      <c r="D39" s="317"/>
    </row>
    <row r="40" spans="1:4">
      <c r="A40" s="317">
        <v>35</v>
      </c>
      <c r="B40" s="317"/>
      <c r="C40" s="317"/>
      <c r="D40" s="317"/>
    </row>
    <row r="41" spans="1:4">
      <c r="A41" s="317">
        <v>36</v>
      </c>
      <c r="B41" s="317"/>
      <c r="C41" s="317"/>
      <c r="D41" s="317"/>
    </row>
    <row r="42" spans="1:4">
      <c r="A42" s="317">
        <v>37</v>
      </c>
      <c r="B42" s="317"/>
      <c r="C42" s="317"/>
      <c r="D42" s="317"/>
    </row>
  </sheetData>
  <sortState ref="C6:C20">
    <sortCondition ref="C6:C20"/>
  </sortState>
  <hyperlinks>
    <hyperlink ref="U6" r:id="rId1" display="@xyz.com"/>
    <hyperlink ref="U7:U23" r:id="rId1" display="@xyz.com"/>
  </hyperlink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A47"/>
  <sheetViews>
    <sheetView zoomScale="110" zoomScaleNormal="110" workbookViewId="0">
      <pane xSplit="2" topLeftCell="C4" activePane="topRight" state="frozen"/>
      <selection/>
      <selection pane="topRight" activeCell="Z19" sqref="Z19"/>
    </sheetView>
  </sheetViews>
  <sheetFormatPr defaultColWidth="11.3714285714286" defaultRowHeight="13.5" customHeight="1"/>
  <cols>
    <col min="1" max="1" width="3.75238095238095" customWidth="1"/>
    <col min="2" max="2" width="43.3714285714286" customWidth="1"/>
    <col min="3" max="100" width="3.24761904761905" customWidth="1"/>
    <col min="102" max="103" width="4.87619047619048" customWidth="1"/>
  </cols>
  <sheetData>
    <row r="2" ht="45" customHeight="1" spans="2:69">
      <c r="B2" s="254" t="s">
        <v>61</v>
      </c>
      <c r="C2" s="254"/>
      <c r="D2" s="254"/>
      <c r="E2" s="254"/>
      <c r="F2" s="254"/>
      <c r="G2" s="254"/>
      <c r="H2" s="254"/>
      <c r="I2" s="254"/>
      <c r="J2" s="254"/>
      <c r="K2" s="254"/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  <c r="W2" s="254"/>
      <c r="X2" s="254"/>
      <c r="Y2" s="254"/>
      <c r="Z2" s="254"/>
      <c r="AA2" s="254"/>
      <c r="AB2" s="254"/>
      <c r="AC2" s="254"/>
      <c r="AD2" s="254"/>
      <c r="AE2" s="254"/>
      <c r="AF2" s="254"/>
      <c r="AG2" s="254"/>
      <c r="AH2" s="254"/>
      <c r="AI2" s="254"/>
      <c r="AJ2" s="254"/>
      <c r="AK2" s="254"/>
      <c r="AL2" s="254"/>
      <c r="AM2" s="254"/>
      <c r="AN2" s="254"/>
      <c r="AO2" s="254"/>
      <c r="AP2" s="254"/>
      <c r="AQ2" s="254"/>
      <c r="AR2" s="254"/>
      <c r="AS2" s="254"/>
      <c r="AT2" s="254"/>
      <c r="AU2" s="254"/>
      <c r="AV2" s="254"/>
      <c r="AW2" s="254"/>
      <c r="AX2" s="254"/>
      <c r="AY2" s="254"/>
      <c r="AZ2" s="254"/>
      <c r="BA2" s="254"/>
      <c r="BB2" s="254"/>
      <c r="BC2" s="254"/>
      <c r="BD2" s="254"/>
      <c r="BE2" s="254"/>
      <c r="BF2" s="254"/>
      <c r="BG2" s="254"/>
      <c r="BH2" s="254"/>
      <c r="BI2" s="254"/>
      <c r="BJ2" s="254"/>
      <c r="BK2" s="254"/>
      <c r="BL2" s="254"/>
      <c r="BM2" s="254"/>
      <c r="BN2" s="254"/>
      <c r="BO2" s="254"/>
      <c r="BP2" s="254"/>
      <c r="BQ2" s="254"/>
    </row>
    <row r="4" ht="45.75" customHeight="1" spans="1:100">
      <c r="A4" s="125"/>
      <c r="B4" s="126" t="s">
        <v>62</v>
      </c>
      <c r="C4" s="127" t="s">
        <v>63</v>
      </c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63" t="s">
        <v>64</v>
      </c>
      <c r="T4" s="163"/>
      <c r="U4" s="163"/>
      <c r="V4" s="163"/>
      <c r="W4" s="163"/>
      <c r="X4" s="163"/>
      <c r="Y4" s="163"/>
      <c r="Z4" s="163"/>
      <c r="AA4" s="163"/>
      <c r="AB4" s="163"/>
      <c r="AC4" s="163"/>
      <c r="AD4" s="163"/>
      <c r="AE4" s="163"/>
      <c r="AF4" s="163"/>
      <c r="AG4" s="163"/>
      <c r="AH4" s="163"/>
      <c r="AI4" s="163"/>
      <c r="AJ4" s="163"/>
      <c r="AK4" s="163"/>
      <c r="AL4" s="163"/>
      <c r="AM4" s="163"/>
      <c r="AN4" s="163"/>
      <c r="AO4" s="163"/>
      <c r="AP4" s="163"/>
      <c r="AQ4" s="163"/>
      <c r="AR4" s="163"/>
      <c r="AS4" s="163"/>
      <c r="AT4" s="163"/>
      <c r="AU4" s="163"/>
      <c r="AV4" s="163"/>
      <c r="AW4" s="163"/>
      <c r="AX4" s="163"/>
      <c r="AY4" s="163"/>
      <c r="AZ4" s="163"/>
      <c r="BA4" s="163"/>
      <c r="BB4" s="163"/>
      <c r="BC4" s="163"/>
      <c r="BD4" s="163"/>
      <c r="BE4" s="224" t="s">
        <v>65</v>
      </c>
      <c r="BF4" s="224"/>
      <c r="BG4" s="224"/>
      <c r="BH4" s="224"/>
      <c r="BI4" s="224"/>
      <c r="BJ4" s="224"/>
      <c r="BK4" s="224"/>
      <c r="BL4" s="224"/>
      <c r="BM4" s="224"/>
      <c r="BN4" s="224"/>
      <c r="BO4" s="224"/>
      <c r="BP4" s="224"/>
      <c r="BQ4" s="224"/>
      <c r="BR4" s="224"/>
      <c r="BS4" s="224"/>
      <c r="BT4" s="224"/>
      <c r="BU4" s="224"/>
      <c r="BV4" s="224"/>
      <c r="BW4" s="224"/>
      <c r="BX4" s="224"/>
      <c r="BY4" s="224"/>
      <c r="BZ4" s="224"/>
      <c r="CA4" s="224"/>
      <c r="CB4" s="224"/>
      <c r="CC4" s="224"/>
      <c r="CD4" s="224"/>
      <c r="CE4" s="224"/>
      <c r="CF4" s="224"/>
      <c r="CG4" s="224"/>
      <c r="CH4" s="224"/>
      <c r="CI4" s="224"/>
      <c r="CJ4" s="224"/>
      <c r="CK4" s="224"/>
      <c r="CL4" s="224"/>
      <c r="CM4" s="224"/>
      <c r="CN4" s="224"/>
      <c r="CO4" s="224"/>
      <c r="CP4" s="224"/>
      <c r="CQ4" s="224"/>
      <c r="CR4" s="224"/>
      <c r="CS4" s="224"/>
      <c r="CT4" s="224"/>
      <c r="CU4" s="224"/>
      <c r="CV4" s="236"/>
    </row>
    <row r="5" ht="15" spans="1:100">
      <c r="A5" s="129" t="s">
        <v>66</v>
      </c>
      <c r="B5" s="130" t="s">
        <v>67</v>
      </c>
      <c r="C5" s="131" t="s">
        <v>68</v>
      </c>
      <c r="D5" s="132"/>
      <c r="E5" s="132"/>
      <c r="F5" s="132"/>
      <c r="G5" s="132"/>
      <c r="H5" s="132"/>
      <c r="I5" s="178" t="s">
        <v>69</v>
      </c>
      <c r="J5" s="154" t="s">
        <v>70</v>
      </c>
      <c r="K5" s="154"/>
      <c r="L5" s="154"/>
      <c r="M5" s="154"/>
      <c r="N5" s="154"/>
      <c r="O5" s="154"/>
      <c r="P5" s="154"/>
      <c r="Q5" s="154"/>
      <c r="R5" s="164" t="s">
        <v>71</v>
      </c>
      <c r="S5" s="165" t="s">
        <v>72</v>
      </c>
      <c r="T5" s="166"/>
      <c r="U5" s="166"/>
      <c r="V5" s="166"/>
      <c r="W5" s="166"/>
      <c r="X5" s="166"/>
      <c r="Y5" s="166"/>
      <c r="Z5" s="178" t="s">
        <v>73</v>
      </c>
      <c r="AA5" s="179" t="s">
        <v>74</v>
      </c>
      <c r="AB5" s="180"/>
      <c r="AC5" s="180"/>
      <c r="AD5" s="180"/>
      <c r="AE5" s="199"/>
      <c r="AF5" s="131" t="s">
        <v>75</v>
      </c>
      <c r="AG5" s="132"/>
      <c r="AH5" s="132"/>
      <c r="AI5" s="132"/>
      <c r="AJ5" s="132"/>
      <c r="AK5" s="132"/>
      <c r="AL5" s="133"/>
      <c r="AM5" s="180" t="s">
        <v>76</v>
      </c>
      <c r="AN5" s="207" t="s">
        <v>77</v>
      </c>
      <c r="AO5" s="213"/>
      <c r="AP5" s="213"/>
      <c r="AQ5" s="213"/>
      <c r="AR5" s="213"/>
      <c r="AS5" s="213"/>
      <c r="AT5" s="214"/>
      <c r="AU5" s="180" t="s">
        <v>78</v>
      </c>
      <c r="AV5" s="165" t="s">
        <v>79</v>
      </c>
      <c r="AW5" s="166"/>
      <c r="AX5" s="166"/>
      <c r="AY5" s="166"/>
      <c r="AZ5" s="166"/>
      <c r="BA5" s="166"/>
      <c r="BB5" s="166"/>
      <c r="BC5" s="166"/>
      <c r="BD5" s="180" t="s">
        <v>80</v>
      </c>
      <c r="BE5" s="217" t="s">
        <v>81</v>
      </c>
      <c r="BF5" s="220"/>
      <c r="BG5" s="220"/>
      <c r="BH5" s="220"/>
      <c r="BI5" s="220"/>
      <c r="BJ5" s="220"/>
      <c r="BK5" s="221"/>
      <c r="BL5" s="180" t="s">
        <v>82</v>
      </c>
      <c r="BM5" s="179" t="s">
        <v>74</v>
      </c>
      <c r="BN5" s="180"/>
      <c r="BO5" s="180"/>
      <c r="BP5" s="180"/>
      <c r="BQ5" s="199"/>
      <c r="BR5" s="207" t="s">
        <v>83</v>
      </c>
      <c r="BS5" s="213"/>
      <c r="BT5" s="213"/>
      <c r="BU5" s="213"/>
      <c r="BV5" s="213"/>
      <c r="BW5" s="213"/>
      <c r="BX5" s="213"/>
      <c r="BY5" s="213"/>
      <c r="BZ5" s="178" t="s">
        <v>84</v>
      </c>
      <c r="CA5" s="165" t="s">
        <v>85</v>
      </c>
      <c r="CB5" s="166"/>
      <c r="CC5" s="166"/>
      <c r="CD5" s="166"/>
      <c r="CE5" s="166"/>
      <c r="CF5" s="166"/>
      <c r="CG5" s="166"/>
      <c r="CH5" s="166"/>
      <c r="CI5" s="166"/>
      <c r="CJ5" s="178" t="s">
        <v>86</v>
      </c>
      <c r="CK5" s="217"/>
      <c r="CL5" s="220"/>
      <c r="CM5" s="220"/>
      <c r="CN5" s="221"/>
      <c r="CO5" s="131" t="s">
        <v>87</v>
      </c>
      <c r="CP5" s="132"/>
      <c r="CQ5" s="132"/>
      <c r="CR5" s="132"/>
      <c r="CS5" s="132"/>
      <c r="CT5" s="132"/>
      <c r="CU5" s="132"/>
      <c r="CV5" s="178"/>
    </row>
    <row r="6" ht="63.8" spans="1:103">
      <c r="A6" s="134"/>
      <c r="B6" s="130"/>
      <c r="C6" s="135"/>
      <c r="D6" s="135">
        <f>K6-7</f>
        <v>45803</v>
      </c>
      <c r="E6" s="135">
        <f>D6+1</f>
        <v>45804</v>
      </c>
      <c r="F6" s="135">
        <f>D6+2</f>
        <v>45805</v>
      </c>
      <c r="G6" s="135"/>
      <c r="H6" s="136" t="s">
        <v>88</v>
      </c>
      <c r="I6" s="136" t="s">
        <v>89</v>
      </c>
      <c r="J6" s="155"/>
      <c r="K6" s="156">
        <v>45810</v>
      </c>
      <c r="L6" s="155">
        <f>K6+1</f>
        <v>45811</v>
      </c>
      <c r="M6" s="155">
        <f>K6+2</f>
        <v>45812</v>
      </c>
      <c r="N6" s="155"/>
      <c r="O6" s="155"/>
      <c r="P6" s="155"/>
      <c r="Q6" s="136" t="s">
        <v>88</v>
      </c>
      <c r="R6" s="136" t="s">
        <v>89</v>
      </c>
      <c r="S6" s="167"/>
      <c r="T6" s="167">
        <f>K6+7</f>
        <v>45817</v>
      </c>
      <c r="U6" s="167">
        <f>T6+1</f>
        <v>45818</v>
      </c>
      <c r="V6" s="167">
        <f>T6+2</f>
        <v>45819</v>
      </c>
      <c r="W6" s="200" t="s">
        <v>90</v>
      </c>
      <c r="X6" s="200" t="s">
        <v>91</v>
      </c>
      <c r="Y6" s="136" t="s">
        <v>88</v>
      </c>
      <c r="Z6" s="136" t="s">
        <v>89</v>
      </c>
      <c r="AA6" s="183"/>
      <c r="AB6" s="183"/>
      <c r="AC6" s="183"/>
      <c r="AD6" s="183"/>
      <c r="AE6" s="183"/>
      <c r="AF6" s="135"/>
      <c r="AG6" s="135">
        <f>T6+7</f>
        <v>45824</v>
      </c>
      <c r="AH6" s="135">
        <f>AG6+1</f>
        <v>45825</v>
      </c>
      <c r="AI6" s="135">
        <f>AG6+2</f>
        <v>45826</v>
      </c>
      <c r="AJ6" s="310" t="s">
        <v>92</v>
      </c>
      <c r="AK6" s="200" t="s">
        <v>93</v>
      </c>
      <c r="AL6" s="136" t="s">
        <v>88</v>
      </c>
      <c r="AM6" s="136" t="s">
        <v>89</v>
      </c>
      <c r="AN6" s="155"/>
      <c r="AO6" s="155">
        <f>AG6+7</f>
        <v>45831</v>
      </c>
      <c r="AP6" s="155">
        <f>AO6+1</f>
        <v>45832</v>
      </c>
      <c r="AQ6" s="155">
        <f>AO6+2</f>
        <v>45833</v>
      </c>
      <c r="AR6" s="312" t="s">
        <v>94</v>
      </c>
      <c r="AS6" s="310" t="s">
        <v>92</v>
      </c>
      <c r="AT6" s="136" t="s">
        <v>88</v>
      </c>
      <c r="AU6" s="136" t="s">
        <v>89</v>
      </c>
      <c r="AV6" s="167"/>
      <c r="AW6" s="167">
        <f>AO6+7</f>
        <v>45838</v>
      </c>
      <c r="AX6" s="167">
        <f>AW6+1</f>
        <v>45839</v>
      </c>
      <c r="AY6" s="167">
        <f>AX6+1</f>
        <v>45840</v>
      </c>
      <c r="AZ6" s="310" t="s">
        <v>92</v>
      </c>
      <c r="BA6" s="312" t="s">
        <v>95</v>
      </c>
      <c r="BB6" s="310" t="s">
        <v>96</v>
      </c>
      <c r="BC6" s="136" t="s">
        <v>88</v>
      </c>
      <c r="BD6" s="136" t="s">
        <v>89</v>
      </c>
      <c r="BE6" s="183"/>
      <c r="BF6" s="183">
        <f>AW6+7</f>
        <v>45845</v>
      </c>
      <c r="BG6" s="183">
        <f>BF6+1</f>
        <v>45846</v>
      </c>
      <c r="BH6" s="183">
        <f>BG6+1</f>
        <v>45847</v>
      </c>
      <c r="BI6" s="200" t="s">
        <v>93</v>
      </c>
      <c r="BJ6" s="310" t="s">
        <v>92</v>
      </c>
      <c r="BK6" s="136" t="s">
        <v>88</v>
      </c>
      <c r="BL6" s="136" t="s">
        <v>89</v>
      </c>
      <c r="BM6" s="135"/>
      <c r="BN6" s="135"/>
      <c r="BO6" s="135"/>
      <c r="BP6" s="135"/>
      <c r="BQ6" s="135"/>
      <c r="BR6" s="155"/>
      <c r="BS6" s="155">
        <f>BF6+7</f>
        <v>45852</v>
      </c>
      <c r="BT6" s="208">
        <f>BS6+1</f>
        <v>45853</v>
      </c>
      <c r="BU6" s="208">
        <f>BS6+2</f>
        <v>45854</v>
      </c>
      <c r="BV6" s="310" t="s">
        <v>97</v>
      </c>
      <c r="BW6" s="200" t="s">
        <v>90</v>
      </c>
      <c r="BX6" s="310" t="s">
        <v>92</v>
      </c>
      <c r="BY6" s="136" t="s">
        <v>88</v>
      </c>
      <c r="BZ6" s="136" t="s">
        <v>89</v>
      </c>
      <c r="CA6" s="167"/>
      <c r="CB6" s="167">
        <f>BS6+7</f>
        <v>45859</v>
      </c>
      <c r="CC6" s="167">
        <f>CB6+1</f>
        <v>45860</v>
      </c>
      <c r="CD6" s="167">
        <f>CB6+3</f>
        <v>45862</v>
      </c>
      <c r="CE6" s="200" t="s">
        <v>90</v>
      </c>
      <c r="CF6" s="200" t="s">
        <v>93</v>
      </c>
      <c r="CG6" s="310" t="s">
        <v>92</v>
      </c>
      <c r="CH6" s="312" t="s">
        <v>98</v>
      </c>
      <c r="CI6" s="136" t="s">
        <v>88</v>
      </c>
      <c r="CJ6" s="136" t="s">
        <v>89</v>
      </c>
      <c r="CK6" s="183"/>
      <c r="CL6" s="183"/>
      <c r="CM6" s="183"/>
      <c r="CN6" s="183"/>
      <c r="CO6" s="135"/>
      <c r="CP6" s="135"/>
      <c r="CQ6" s="135"/>
      <c r="CR6" s="135"/>
      <c r="CS6" s="135"/>
      <c r="CT6" s="135"/>
      <c r="CU6" s="136" t="s">
        <v>88</v>
      </c>
      <c r="CV6" s="136" t="s">
        <v>89</v>
      </c>
      <c r="CW6" t="s">
        <v>99</v>
      </c>
      <c r="CX6" s="310" t="s">
        <v>92</v>
      </c>
      <c r="CY6" s="310" t="s">
        <v>92</v>
      </c>
    </row>
    <row r="7" ht="15" spans="1:105">
      <c r="A7" s="137">
        <v>1</v>
      </c>
      <c r="B7" s="138" t="str">
        <f>'RELACION ESTUDIANTES - 2022'!B6</f>
        <v>CASAVILCA ACOSTA YZUHAIM HUGO ALBERTO</v>
      </c>
      <c r="C7" s="139"/>
      <c r="D7" s="139" t="s">
        <v>100</v>
      </c>
      <c r="E7" s="139" t="s">
        <v>100</v>
      </c>
      <c r="F7" s="139" t="s">
        <v>100</v>
      </c>
      <c r="G7" s="139"/>
      <c r="H7" s="139" t="str">
        <f>Q7</f>
        <v>AD</v>
      </c>
      <c r="I7" s="158" t="s">
        <v>100</v>
      </c>
      <c r="J7" s="159"/>
      <c r="K7" s="159" t="s">
        <v>100</v>
      </c>
      <c r="L7" s="159" t="s">
        <v>100</v>
      </c>
      <c r="M7" s="159" t="s">
        <v>100</v>
      </c>
      <c r="N7" s="159"/>
      <c r="O7" s="159"/>
      <c r="P7" s="159"/>
      <c r="Q7" s="159" t="str">
        <f>Y7</f>
        <v>AD</v>
      </c>
      <c r="R7" s="158" t="s">
        <v>100</v>
      </c>
      <c r="S7" s="170"/>
      <c r="T7" s="171" t="s">
        <v>100</v>
      </c>
      <c r="U7" s="171" t="s">
        <v>100</v>
      </c>
      <c r="V7" s="171" t="s">
        <v>100</v>
      </c>
      <c r="W7" s="308" t="s">
        <v>101</v>
      </c>
      <c r="X7" s="308"/>
      <c r="Y7" s="170" t="str">
        <f>AL7</f>
        <v>AD</v>
      </c>
      <c r="Z7" s="158" t="s">
        <v>100</v>
      </c>
      <c r="AA7" s="186"/>
      <c r="AB7" s="187"/>
      <c r="AC7" s="187"/>
      <c r="AD7" s="187"/>
      <c r="AE7" s="186"/>
      <c r="AF7" s="139"/>
      <c r="AG7" s="148" t="s">
        <v>100</v>
      </c>
      <c r="AH7" s="148" t="s">
        <v>100</v>
      </c>
      <c r="AI7" s="148" t="s">
        <v>102</v>
      </c>
      <c r="AJ7" s="172"/>
      <c r="AK7" s="308" t="s">
        <v>100</v>
      </c>
      <c r="AL7" s="148" t="str">
        <f>AT7</f>
        <v>AD</v>
      </c>
      <c r="AM7" s="158" t="s">
        <v>101</v>
      </c>
      <c r="AN7" s="159"/>
      <c r="AO7" s="159" t="s">
        <v>103</v>
      </c>
      <c r="AP7" s="159" t="s">
        <v>100</v>
      </c>
      <c r="AQ7" s="159" t="s">
        <v>100</v>
      </c>
      <c r="AR7" s="173"/>
      <c r="AS7" s="172" t="s">
        <v>100</v>
      </c>
      <c r="AT7" s="159" t="str">
        <f>BC7</f>
        <v>AD</v>
      </c>
      <c r="AU7" s="158" t="s">
        <v>100</v>
      </c>
      <c r="AV7" s="171"/>
      <c r="AW7" s="171" t="s">
        <v>101</v>
      </c>
      <c r="AX7" s="171" t="s">
        <v>100</v>
      </c>
      <c r="AY7" s="171" t="s">
        <v>101</v>
      </c>
      <c r="AZ7" s="172" t="s">
        <v>100</v>
      </c>
      <c r="BA7" s="173"/>
      <c r="BB7" s="172"/>
      <c r="BC7" s="171" t="str">
        <f>BK7</f>
        <v>AD</v>
      </c>
      <c r="BD7" s="158" t="s">
        <v>100</v>
      </c>
      <c r="BE7" s="190"/>
      <c r="BF7" s="190" t="s">
        <v>100</v>
      </c>
      <c r="BG7" s="190" t="s">
        <v>100</v>
      </c>
      <c r="BH7" s="189" t="s">
        <v>101</v>
      </c>
      <c r="BI7" s="308" t="s">
        <v>100</v>
      </c>
      <c r="BJ7" s="172" t="s">
        <v>100</v>
      </c>
      <c r="BK7" s="189" t="str">
        <f>BY7</f>
        <v>AD</v>
      </c>
      <c r="BL7" s="158" t="s">
        <v>100</v>
      </c>
      <c r="BM7" s="139"/>
      <c r="BN7" s="139"/>
      <c r="BO7" s="139"/>
      <c r="BP7" s="139"/>
      <c r="BQ7" s="139"/>
      <c r="BR7" s="159"/>
      <c r="BS7" s="225" t="s">
        <v>100</v>
      </c>
      <c r="BT7" s="225" t="s">
        <v>100</v>
      </c>
      <c r="BU7" s="225" t="s">
        <v>100</v>
      </c>
      <c r="BV7" s="172"/>
      <c r="BW7" s="308" t="s">
        <v>101</v>
      </c>
      <c r="BX7" s="172" t="s">
        <v>100</v>
      </c>
      <c r="BY7" s="225" t="str">
        <f>CI7</f>
        <v>AD</v>
      </c>
      <c r="BZ7" s="158" t="s">
        <v>100</v>
      </c>
      <c r="CA7" s="171"/>
      <c r="CB7" s="230" t="s">
        <v>100</v>
      </c>
      <c r="CC7" s="230" t="s">
        <v>101</v>
      </c>
      <c r="CD7" s="230"/>
      <c r="CE7" s="308" t="s">
        <v>101</v>
      </c>
      <c r="CF7" s="308" t="s">
        <v>100</v>
      </c>
      <c r="CG7" s="172" t="s">
        <v>100</v>
      </c>
      <c r="CH7" s="173"/>
      <c r="CI7" s="232" t="str">
        <f>CW7</f>
        <v>AD</v>
      </c>
      <c r="CJ7" s="158" t="s">
        <v>100</v>
      </c>
      <c r="CK7" s="186"/>
      <c r="CL7" s="186"/>
      <c r="CM7" s="186"/>
      <c r="CN7" s="186"/>
      <c r="CO7" s="139"/>
      <c r="CP7" s="139"/>
      <c r="CQ7" s="139"/>
      <c r="CR7" s="139"/>
      <c r="CS7" s="139"/>
      <c r="CT7" s="139"/>
      <c r="CU7" s="139"/>
      <c r="CV7" s="139"/>
      <c r="CW7" s="237" t="s">
        <v>100</v>
      </c>
      <c r="CX7" s="172" t="s">
        <v>101</v>
      </c>
      <c r="CY7" s="172" t="s">
        <v>100</v>
      </c>
      <c r="CZ7" s="172" t="s">
        <v>100</v>
      </c>
      <c r="DA7" t="e">
        <f>CZ7*2+4</f>
        <v>#VALUE!</v>
      </c>
    </row>
    <row r="8" ht="15" spans="1:105">
      <c r="A8" s="137">
        <v>2</v>
      </c>
      <c r="B8" s="138" t="str">
        <f>'RELACION ESTUDIANTES - 2022'!B7</f>
        <v>CASTRO VARGAS JHORDAN ANDREE WILLIAN</v>
      </c>
      <c r="C8" s="139"/>
      <c r="D8" s="139" t="s">
        <v>100</v>
      </c>
      <c r="E8" s="139" t="s">
        <v>101</v>
      </c>
      <c r="F8" s="139" t="s">
        <v>101</v>
      </c>
      <c r="G8" s="139"/>
      <c r="H8" s="139" t="str">
        <f t="shared" ref="H8:H24" si="0">Q8</f>
        <v>AD</v>
      </c>
      <c r="I8" s="158" t="s">
        <v>101</v>
      </c>
      <c r="J8" s="159"/>
      <c r="K8" s="159" t="s">
        <v>101</v>
      </c>
      <c r="L8" s="159" t="s">
        <v>102</v>
      </c>
      <c r="M8" s="159" t="s">
        <v>101</v>
      </c>
      <c r="N8" s="159"/>
      <c r="O8" s="159"/>
      <c r="P8" s="159"/>
      <c r="Q8" s="159" t="str">
        <f t="shared" ref="Q8:Q24" si="1">Y8</f>
        <v>AD</v>
      </c>
      <c r="R8" s="158" t="s">
        <v>101</v>
      </c>
      <c r="S8" s="170"/>
      <c r="T8" s="171" t="s">
        <v>100</v>
      </c>
      <c r="U8" s="171" t="s">
        <v>100</v>
      </c>
      <c r="V8" s="171" t="s">
        <v>100</v>
      </c>
      <c r="W8" s="308" t="s">
        <v>100</v>
      </c>
      <c r="X8" s="308"/>
      <c r="Y8" s="170" t="str">
        <f t="shared" ref="Y8:Y24" si="2">AL8</f>
        <v>AD</v>
      </c>
      <c r="Z8" s="158" t="s">
        <v>100</v>
      </c>
      <c r="AA8" s="189"/>
      <c r="AB8" s="190"/>
      <c r="AC8" s="190"/>
      <c r="AD8" s="190"/>
      <c r="AE8" s="189"/>
      <c r="AF8" s="139"/>
      <c r="AG8" s="148" t="s">
        <v>100</v>
      </c>
      <c r="AH8" s="148" t="s">
        <v>100</v>
      </c>
      <c r="AI8" s="148" t="s">
        <v>102</v>
      </c>
      <c r="AJ8" s="172"/>
      <c r="AK8" s="308" t="s">
        <v>100</v>
      </c>
      <c r="AL8" s="148" t="str">
        <f t="shared" ref="AL8:AL24" si="3">AT8</f>
        <v>AD</v>
      </c>
      <c r="AM8" s="158" t="s">
        <v>101</v>
      </c>
      <c r="AN8" s="159"/>
      <c r="AO8" s="159" t="s">
        <v>104</v>
      </c>
      <c r="AP8" s="159" t="s">
        <v>100</v>
      </c>
      <c r="AQ8" s="159" t="s">
        <v>105</v>
      </c>
      <c r="AR8" s="173"/>
      <c r="AS8" s="172" t="s">
        <v>100</v>
      </c>
      <c r="AT8" s="159" t="str">
        <f t="shared" ref="AT8:AT24" si="4">BC8</f>
        <v>AD</v>
      </c>
      <c r="AU8" s="158" t="s">
        <v>102</v>
      </c>
      <c r="AV8" s="171"/>
      <c r="AW8" s="171" t="s">
        <v>100</v>
      </c>
      <c r="AX8" s="171" t="s">
        <v>100</v>
      </c>
      <c r="AY8" s="171" t="s">
        <v>102</v>
      </c>
      <c r="AZ8" s="172" t="s">
        <v>100</v>
      </c>
      <c r="BA8" s="173"/>
      <c r="BB8" s="172"/>
      <c r="BC8" s="171" t="str">
        <f t="shared" ref="BC8:BC24" si="5">BK8</f>
        <v>AD</v>
      </c>
      <c r="BD8" s="158" t="s">
        <v>101</v>
      </c>
      <c r="BE8" s="190"/>
      <c r="BF8" s="190" t="s">
        <v>100</v>
      </c>
      <c r="BG8" s="190" t="s">
        <v>100</v>
      </c>
      <c r="BH8" s="189" t="s">
        <v>101</v>
      </c>
      <c r="BI8" s="308" t="s">
        <v>100</v>
      </c>
      <c r="BJ8" s="172" t="s">
        <v>100</v>
      </c>
      <c r="BK8" s="189" t="str">
        <f t="shared" ref="BK8:BK24" si="6">BY8</f>
        <v>AD</v>
      </c>
      <c r="BL8" s="158" t="s">
        <v>100</v>
      </c>
      <c r="BM8" s="148"/>
      <c r="BN8" s="148"/>
      <c r="BO8" s="148"/>
      <c r="BP8" s="148"/>
      <c r="BQ8" s="148"/>
      <c r="BR8" s="159"/>
      <c r="BS8" s="225" t="s">
        <v>100</v>
      </c>
      <c r="BT8" s="225" t="s">
        <v>100</v>
      </c>
      <c r="BU8" s="225" t="s">
        <v>101</v>
      </c>
      <c r="BV8" s="172"/>
      <c r="BW8" s="308" t="s">
        <v>100</v>
      </c>
      <c r="BX8" s="172" t="s">
        <v>100</v>
      </c>
      <c r="BY8" s="225" t="str">
        <f t="shared" ref="BY8:BY24" si="7">CI8</f>
        <v>AD</v>
      </c>
      <c r="BZ8" s="158" t="s">
        <v>100</v>
      </c>
      <c r="CA8" s="171"/>
      <c r="CB8" s="230" t="s">
        <v>100</v>
      </c>
      <c r="CC8" s="230" t="s">
        <v>102</v>
      </c>
      <c r="CD8" s="230"/>
      <c r="CE8" s="308" t="s">
        <v>100</v>
      </c>
      <c r="CF8" s="308" t="s">
        <v>100</v>
      </c>
      <c r="CG8" s="172" t="s">
        <v>100</v>
      </c>
      <c r="CH8" s="173"/>
      <c r="CI8" s="232" t="str">
        <f t="shared" ref="CI8:CI24" si="8">CW8</f>
        <v>AD</v>
      </c>
      <c r="CJ8" s="158" t="s">
        <v>101</v>
      </c>
      <c r="CK8" s="189"/>
      <c r="CL8" s="189"/>
      <c r="CM8" s="189"/>
      <c r="CN8" s="189"/>
      <c r="CO8" s="148"/>
      <c r="CP8" s="148"/>
      <c r="CQ8" s="148"/>
      <c r="CR8" s="148"/>
      <c r="CS8" s="139"/>
      <c r="CT8" s="139"/>
      <c r="CU8" s="139"/>
      <c r="CV8" s="139"/>
      <c r="CW8" s="237" t="s">
        <v>100</v>
      </c>
      <c r="CX8" s="172" t="s">
        <v>101</v>
      </c>
      <c r="CY8" s="172" t="s">
        <v>100</v>
      </c>
      <c r="CZ8" s="172" t="s">
        <v>100</v>
      </c>
      <c r="DA8" t="e">
        <f t="shared" ref="DA8:DA21" si="9">CZ8*2+4</f>
        <v>#VALUE!</v>
      </c>
    </row>
    <row r="9" ht="15" spans="1:105">
      <c r="A9" s="137">
        <v>3</v>
      </c>
      <c r="B9" s="138" t="str">
        <f>'RELACION ESTUDIANTES - 2022'!B8</f>
        <v>CONDE GAMBOA JHONATAN RODRIGO</v>
      </c>
      <c r="C9" s="139"/>
      <c r="D9" s="139" t="s">
        <v>102</v>
      </c>
      <c r="E9" s="139" t="s">
        <v>101</v>
      </c>
      <c r="F9" s="139" t="s">
        <v>101</v>
      </c>
      <c r="G9" s="139"/>
      <c r="H9" s="139" t="str">
        <f t="shared" si="0"/>
        <v>AD</v>
      </c>
      <c r="I9" s="158" t="s">
        <v>101</v>
      </c>
      <c r="J9" s="159"/>
      <c r="K9" s="159" t="s">
        <v>100</v>
      </c>
      <c r="L9" s="159" t="s">
        <v>100</v>
      </c>
      <c r="M9" s="159" t="s">
        <v>100</v>
      </c>
      <c r="N9" s="159"/>
      <c r="O9" s="159"/>
      <c r="P9" s="159"/>
      <c r="Q9" s="159" t="str">
        <f t="shared" si="1"/>
        <v>AD</v>
      </c>
      <c r="R9" s="158" t="s">
        <v>100</v>
      </c>
      <c r="S9" s="170"/>
      <c r="T9" s="171" t="s">
        <v>100</v>
      </c>
      <c r="U9" s="171" t="s">
        <v>100</v>
      </c>
      <c r="V9" s="171" t="s">
        <v>100</v>
      </c>
      <c r="W9" s="308" t="s">
        <v>101</v>
      </c>
      <c r="X9" s="308"/>
      <c r="Y9" s="170" t="str">
        <f t="shared" si="2"/>
        <v>AD</v>
      </c>
      <c r="Z9" s="158" t="s">
        <v>100</v>
      </c>
      <c r="AA9" s="189"/>
      <c r="AB9" s="190"/>
      <c r="AC9" s="190"/>
      <c r="AD9" s="190"/>
      <c r="AE9" s="189"/>
      <c r="AF9" s="139"/>
      <c r="AG9" s="148" t="s">
        <v>100</v>
      </c>
      <c r="AH9" s="148" t="s">
        <v>100</v>
      </c>
      <c r="AI9" s="148" t="s">
        <v>102</v>
      </c>
      <c r="AJ9" s="172"/>
      <c r="AK9" s="308" t="s">
        <v>100</v>
      </c>
      <c r="AL9" s="148" t="str">
        <f t="shared" si="3"/>
        <v>AD</v>
      </c>
      <c r="AM9" s="158" t="s">
        <v>101</v>
      </c>
      <c r="AN9" s="159"/>
      <c r="AO9" s="159" t="s">
        <v>106</v>
      </c>
      <c r="AP9" s="159" t="s">
        <v>102</v>
      </c>
      <c r="AQ9" s="159" t="s">
        <v>101</v>
      </c>
      <c r="AR9" s="173"/>
      <c r="AS9" s="172" t="s">
        <v>102</v>
      </c>
      <c r="AT9" s="159" t="str">
        <f t="shared" si="4"/>
        <v>AD</v>
      </c>
      <c r="AU9" s="158" t="s">
        <v>102</v>
      </c>
      <c r="AV9" s="171"/>
      <c r="AW9" s="171" t="s">
        <v>102</v>
      </c>
      <c r="AX9" s="171" t="s">
        <v>105</v>
      </c>
      <c r="AY9" s="171" t="s">
        <v>101</v>
      </c>
      <c r="AZ9" s="172" t="s">
        <v>102</v>
      </c>
      <c r="BA9" s="173"/>
      <c r="BB9" s="172"/>
      <c r="BC9" s="171" t="str">
        <f t="shared" si="5"/>
        <v>AD</v>
      </c>
      <c r="BD9" s="158" t="s">
        <v>102</v>
      </c>
      <c r="BE9" s="190"/>
      <c r="BF9" s="190" t="s">
        <v>100</v>
      </c>
      <c r="BG9" s="190" t="s">
        <v>100</v>
      </c>
      <c r="BH9" s="189" t="s">
        <v>101</v>
      </c>
      <c r="BI9" s="308" t="s">
        <v>100</v>
      </c>
      <c r="BJ9" s="172" t="s">
        <v>102</v>
      </c>
      <c r="BK9" s="189" t="str">
        <f t="shared" si="6"/>
        <v>AD</v>
      </c>
      <c r="BL9" s="158" t="s">
        <v>101</v>
      </c>
      <c r="BM9" s="148"/>
      <c r="BN9" s="148"/>
      <c r="BO9" s="148"/>
      <c r="BP9" s="148"/>
      <c r="BQ9" s="148"/>
      <c r="BR9" s="159"/>
      <c r="BS9" s="225" t="s">
        <v>101</v>
      </c>
      <c r="BT9" s="225" t="s">
        <v>100</v>
      </c>
      <c r="BU9" s="225" t="s">
        <v>100</v>
      </c>
      <c r="BV9" s="172"/>
      <c r="BW9" s="308" t="s">
        <v>101</v>
      </c>
      <c r="BX9" s="172" t="s">
        <v>102</v>
      </c>
      <c r="BY9" s="225" t="str">
        <f t="shared" si="7"/>
        <v>AD</v>
      </c>
      <c r="BZ9" s="158" t="s">
        <v>101</v>
      </c>
      <c r="CA9" s="171"/>
      <c r="CB9" s="230" t="s">
        <v>100</v>
      </c>
      <c r="CC9" s="230" t="s">
        <v>101</v>
      </c>
      <c r="CD9" s="230"/>
      <c r="CE9" s="308" t="s">
        <v>101</v>
      </c>
      <c r="CF9" s="308" t="s">
        <v>100</v>
      </c>
      <c r="CG9" s="172" t="s">
        <v>102</v>
      </c>
      <c r="CH9" s="173"/>
      <c r="CI9" s="232" t="str">
        <f t="shared" si="8"/>
        <v>AD</v>
      </c>
      <c r="CJ9" s="158" t="s">
        <v>101</v>
      </c>
      <c r="CK9" s="189"/>
      <c r="CL9" s="189"/>
      <c r="CM9" s="189"/>
      <c r="CN9" s="189"/>
      <c r="CO9" s="148"/>
      <c r="CP9" s="148"/>
      <c r="CQ9" s="148"/>
      <c r="CR9" s="148"/>
      <c r="CS9" s="139"/>
      <c r="CT9" s="139"/>
      <c r="CU9" s="139"/>
      <c r="CV9" s="139"/>
      <c r="CW9" s="237" t="s">
        <v>100</v>
      </c>
      <c r="CX9" s="172" t="s">
        <v>105</v>
      </c>
      <c r="CY9" s="172" t="s">
        <v>102</v>
      </c>
      <c r="CZ9" s="172" t="s">
        <v>102</v>
      </c>
      <c r="DA9" t="e">
        <f t="shared" si="9"/>
        <v>#VALUE!</v>
      </c>
    </row>
    <row r="10" ht="15" spans="1:105">
      <c r="A10" s="137">
        <v>4</v>
      </c>
      <c r="B10" s="138" t="str">
        <f>'RELACION ESTUDIANTES - 2022'!B9</f>
        <v>CUADROS ZEVALLOS ANGELO DAVID</v>
      </c>
      <c r="C10" s="139"/>
      <c r="D10" s="139" t="s">
        <v>100</v>
      </c>
      <c r="E10" s="139" t="s">
        <v>100</v>
      </c>
      <c r="F10" s="139" t="s">
        <v>100</v>
      </c>
      <c r="G10" s="139"/>
      <c r="H10" s="139" t="str">
        <f t="shared" si="0"/>
        <v>AD</v>
      </c>
      <c r="I10" s="158" t="s">
        <v>100</v>
      </c>
      <c r="J10" s="159"/>
      <c r="K10" s="159" t="s">
        <v>100</v>
      </c>
      <c r="L10" s="159" t="s">
        <v>100</v>
      </c>
      <c r="M10" s="159" t="s">
        <v>100</v>
      </c>
      <c r="N10" s="159"/>
      <c r="O10" s="159"/>
      <c r="P10" s="159"/>
      <c r="Q10" s="159" t="str">
        <f t="shared" si="1"/>
        <v>AD</v>
      </c>
      <c r="R10" s="158" t="s">
        <v>100</v>
      </c>
      <c r="S10" s="170"/>
      <c r="T10" s="171" t="s">
        <v>100</v>
      </c>
      <c r="U10" s="171" t="s">
        <v>100</v>
      </c>
      <c r="V10" s="171" t="s">
        <v>101</v>
      </c>
      <c r="W10" s="308" t="s">
        <v>100</v>
      </c>
      <c r="X10" s="308"/>
      <c r="Y10" s="170" t="str">
        <f t="shared" si="2"/>
        <v>AD</v>
      </c>
      <c r="Z10" s="158" t="s">
        <v>100</v>
      </c>
      <c r="AA10" s="189"/>
      <c r="AB10" s="190"/>
      <c r="AC10" s="190"/>
      <c r="AD10" s="190"/>
      <c r="AE10" s="189"/>
      <c r="AF10" s="139"/>
      <c r="AG10" s="148" t="s">
        <v>100</v>
      </c>
      <c r="AH10" s="148" t="s">
        <v>100</v>
      </c>
      <c r="AI10" s="148" t="s">
        <v>100</v>
      </c>
      <c r="AJ10" s="172"/>
      <c r="AK10" s="308" t="s">
        <v>100</v>
      </c>
      <c r="AL10" s="148" t="str">
        <f t="shared" si="3"/>
        <v>AD</v>
      </c>
      <c r="AM10" s="158" t="s">
        <v>100</v>
      </c>
      <c r="AN10" s="159"/>
      <c r="AO10" s="159"/>
      <c r="AP10" s="159" t="s">
        <v>102</v>
      </c>
      <c r="AQ10" s="159" t="s">
        <v>100</v>
      </c>
      <c r="AR10" s="173"/>
      <c r="AS10" s="172" t="s">
        <v>101</v>
      </c>
      <c r="AT10" s="159" t="str">
        <f t="shared" si="4"/>
        <v>AD</v>
      </c>
      <c r="AU10" s="158" t="s">
        <v>101</v>
      </c>
      <c r="AV10" s="171"/>
      <c r="AW10" s="171" t="s">
        <v>101</v>
      </c>
      <c r="AX10" s="171" t="s">
        <v>100</v>
      </c>
      <c r="AY10" s="171" t="s">
        <v>100</v>
      </c>
      <c r="AZ10" s="172" t="s">
        <v>101</v>
      </c>
      <c r="BA10" s="173"/>
      <c r="BB10" s="172"/>
      <c r="BC10" s="171" t="str">
        <f t="shared" si="5"/>
        <v>AD</v>
      </c>
      <c r="BD10" s="158" t="s">
        <v>101</v>
      </c>
      <c r="BE10" s="190"/>
      <c r="BF10" s="190" t="s">
        <v>101</v>
      </c>
      <c r="BG10" s="190" t="s">
        <v>100</v>
      </c>
      <c r="BH10" s="189" t="s">
        <v>100</v>
      </c>
      <c r="BI10" s="308" t="s">
        <v>100</v>
      </c>
      <c r="BJ10" s="172" t="s">
        <v>101</v>
      </c>
      <c r="BK10" s="189" t="str">
        <f t="shared" si="6"/>
        <v>AD</v>
      </c>
      <c r="BL10" s="158" t="s">
        <v>100</v>
      </c>
      <c r="BM10" s="148"/>
      <c r="BN10" s="148"/>
      <c r="BO10" s="148"/>
      <c r="BP10" s="148"/>
      <c r="BQ10" s="148"/>
      <c r="BR10" s="159"/>
      <c r="BS10" s="225" t="s">
        <v>101</v>
      </c>
      <c r="BT10" s="225" t="s">
        <v>100</v>
      </c>
      <c r="BU10" s="225" t="s">
        <v>100</v>
      </c>
      <c r="BV10" s="172"/>
      <c r="BW10" s="308" t="s">
        <v>100</v>
      </c>
      <c r="BX10" s="172" t="s">
        <v>101</v>
      </c>
      <c r="BY10" s="225" t="str">
        <f t="shared" si="7"/>
        <v>AD</v>
      </c>
      <c r="BZ10" s="158" t="s">
        <v>101</v>
      </c>
      <c r="CA10" s="171"/>
      <c r="CB10" s="230" t="s">
        <v>100</v>
      </c>
      <c r="CC10" s="230" t="s">
        <v>100</v>
      </c>
      <c r="CD10" s="230"/>
      <c r="CE10" s="308" t="s">
        <v>100</v>
      </c>
      <c r="CF10" s="308" t="s">
        <v>100</v>
      </c>
      <c r="CG10" s="172" t="s">
        <v>101</v>
      </c>
      <c r="CH10" s="173"/>
      <c r="CI10" s="232" t="str">
        <f t="shared" si="8"/>
        <v>AD</v>
      </c>
      <c r="CJ10" s="158" t="s">
        <v>100</v>
      </c>
      <c r="CK10" s="189"/>
      <c r="CL10" s="189"/>
      <c r="CM10" s="189"/>
      <c r="CN10" s="189"/>
      <c r="CO10" s="148"/>
      <c r="CP10" s="148"/>
      <c r="CQ10" s="148"/>
      <c r="CR10" s="148"/>
      <c r="CS10" s="139"/>
      <c r="CT10" s="139"/>
      <c r="CU10" s="139"/>
      <c r="CV10" s="139"/>
      <c r="CW10" s="237" t="s">
        <v>100</v>
      </c>
      <c r="CX10" s="172" t="s">
        <v>102</v>
      </c>
      <c r="CY10" s="172" t="s">
        <v>100</v>
      </c>
      <c r="CZ10" s="172" t="s">
        <v>101</v>
      </c>
      <c r="DA10" t="e">
        <f t="shared" si="9"/>
        <v>#VALUE!</v>
      </c>
    </row>
    <row r="11" ht="15" spans="1:105">
      <c r="A11" s="137">
        <v>5</v>
      </c>
      <c r="B11" s="138" t="str">
        <f>'RELACION ESTUDIANTES - 2022'!B10</f>
        <v>GALINDO HERNANDEZ EMERSON FELIPE</v>
      </c>
      <c r="C11" s="139"/>
      <c r="D11" s="139" t="s">
        <v>100</v>
      </c>
      <c r="E11" s="139" t="s">
        <v>101</v>
      </c>
      <c r="F11" s="139" t="s">
        <v>100</v>
      </c>
      <c r="G11" s="139"/>
      <c r="H11" s="139" t="str">
        <f t="shared" si="0"/>
        <v>AD</v>
      </c>
      <c r="I11" s="158" t="s">
        <v>100</v>
      </c>
      <c r="J11" s="159"/>
      <c r="K11" s="159" t="s">
        <v>100</v>
      </c>
      <c r="L11" s="159" t="s">
        <v>100</v>
      </c>
      <c r="M11" s="159" t="s">
        <v>100</v>
      </c>
      <c r="N11" s="159"/>
      <c r="O11" s="159"/>
      <c r="P11" s="159"/>
      <c r="Q11" s="159" t="str">
        <f t="shared" si="1"/>
        <v>AD</v>
      </c>
      <c r="R11" s="158" t="s">
        <v>100</v>
      </c>
      <c r="S11" s="170"/>
      <c r="T11" s="171" t="s">
        <v>100</v>
      </c>
      <c r="U11" s="171" t="s">
        <v>100</v>
      </c>
      <c r="V11" s="171" t="s">
        <v>100</v>
      </c>
      <c r="W11" s="308" t="s">
        <v>100</v>
      </c>
      <c r="X11" s="308"/>
      <c r="Y11" s="170" t="str">
        <f t="shared" si="2"/>
        <v>AD</v>
      </c>
      <c r="Z11" s="158" t="s">
        <v>100</v>
      </c>
      <c r="AA11" s="189"/>
      <c r="AB11" s="190"/>
      <c r="AC11" s="190"/>
      <c r="AD11" s="190"/>
      <c r="AE11" s="189"/>
      <c r="AF11" s="139"/>
      <c r="AG11" s="148" t="s">
        <v>100</v>
      </c>
      <c r="AH11" s="148" t="s">
        <v>101</v>
      </c>
      <c r="AI11" s="148" t="s">
        <v>100</v>
      </c>
      <c r="AJ11" s="172"/>
      <c r="AK11" s="308" t="s">
        <v>100</v>
      </c>
      <c r="AL11" s="148" t="str">
        <f t="shared" si="3"/>
        <v>AD</v>
      </c>
      <c r="AM11" s="158" t="s">
        <v>100</v>
      </c>
      <c r="AN11" s="159"/>
      <c r="AO11" s="159"/>
      <c r="AP11" s="159" t="s">
        <v>100</v>
      </c>
      <c r="AQ11" s="159" t="s">
        <v>100</v>
      </c>
      <c r="AR11" s="173"/>
      <c r="AS11" s="172" t="s">
        <v>100</v>
      </c>
      <c r="AT11" s="159" t="str">
        <f t="shared" si="4"/>
        <v>AD</v>
      </c>
      <c r="AU11" s="158" t="s">
        <v>100</v>
      </c>
      <c r="AV11" s="171"/>
      <c r="AW11" s="171" t="s">
        <v>101</v>
      </c>
      <c r="AX11" s="171" t="s">
        <v>105</v>
      </c>
      <c r="AY11" s="171" t="s">
        <v>100</v>
      </c>
      <c r="AZ11" s="172" t="s">
        <v>100</v>
      </c>
      <c r="BA11" s="173"/>
      <c r="BB11" s="172"/>
      <c r="BC11" s="171" t="str">
        <f t="shared" si="5"/>
        <v>AD</v>
      </c>
      <c r="BD11" s="158" t="s">
        <v>102</v>
      </c>
      <c r="BE11" s="190"/>
      <c r="BF11" s="190" t="s">
        <v>100</v>
      </c>
      <c r="BG11" s="190" t="s">
        <v>100</v>
      </c>
      <c r="BH11" s="189" t="s">
        <v>100</v>
      </c>
      <c r="BI11" s="308" t="s">
        <v>100</v>
      </c>
      <c r="BJ11" s="172" t="s">
        <v>100</v>
      </c>
      <c r="BK11" s="189" t="str">
        <f t="shared" si="6"/>
        <v>AD</v>
      </c>
      <c r="BL11" s="158" t="s">
        <v>100</v>
      </c>
      <c r="BM11" s="148"/>
      <c r="BN11" s="148"/>
      <c r="BO11" s="148"/>
      <c r="BP11" s="148"/>
      <c r="BQ11" s="148"/>
      <c r="BR11" s="159"/>
      <c r="BS11" s="225" t="s">
        <v>100</v>
      </c>
      <c r="BT11" s="225" t="s">
        <v>100</v>
      </c>
      <c r="BU11" s="225" t="s">
        <v>101</v>
      </c>
      <c r="BV11" s="172"/>
      <c r="BW11" s="308" t="s">
        <v>100</v>
      </c>
      <c r="BX11" s="172" t="s">
        <v>100</v>
      </c>
      <c r="BY11" s="225" t="str">
        <f t="shared" si="7"/>
        <v>AD</v>
      </c>
      <c r="BZ11" s="158" t="s">
        <v>100</v>
      </c>
      <c r="CA11" s="171"/>
      <c r="CB11" s="230" t="s">
        <v>100</v>
      </c>
      <c r="CC11" s="230" t="s">
        <v>100</v>
      </c>
      <c r="CD11" s="230"/>
      <c r="CE11" s="308" t="s">
        <v>100</v>
      </c>
      <c r="CF11" s="308" t="s">
        <v>100</v>
      </c>
      <c r="CG11" s="172" t="s">
        <v>100</v>
      </c>
      <c r="CH11" s="173"/>
      <c r="CI11" s="232" t="str">
        <f t="shared" si="8"/>
        <v>AD</v>
      </c>
      <c r="CJ11" s="158" t="s">
        <v>100</v>
      </c>
      <c r="CK11" s="189"/>
      <c r="CL11" s="189"/>
      <c r="CM11" s="189"/>
      <c r="CN11" s="189"/>
      <c r="CO11" s="148"/>
      <c r="CP11" s="148"/>
      <c r="CQ11" s="148"/>
      <c r="CR11" s="148"/>
      <c r="CS11" s="139"/>
      <c r="CT11" s="139"/>
      <c r="CU11" s="139"/>
      <c r="CV11" s="139"/>
      <c r="CW11" s="237" t="s">
        <v>100</v>
      </c>
      <c r="CX11" s="172" t="s">
        <v>101</v>
      </c>
      <c r="CY11" s="172" t="s">
        <v>100</v>
      </c>
      <c r="CZ11" s="172" t="s">
        <v>100</v>
      </c>
      <c r="DA11" t="e">
        <f t="shared" si="9"/>
        <v>#VALUE!</v>
      </c>
    </row>
    <row r="12" ht="15" spans="1:105">
      <c r="A12" s="137">
        <v>6</v>
      </c>
      <c r="B12" s="138" t="str">
        <f>'RELACION ESTUDIANTES - 2022'!B11</f>
        <v>HERNANDEZ ENRIQUEZ JARED MIGUEL</v>
      </c>
      <c r="C12" s="139"/>
      <c r="D12" s="139" t="s">
        <v>100</v>
      </c>
      <c r="E12" s="139" t="s">
        <v>101</v>
      </c>
      <c r="F12" s="139" t="s">
        <v>100</v>
      </c>
      <c r="G12" s="139"/>
      <c r="H12" s="139" t="str">
        <f t="shared" si="0"/>
        <v>AD</v>
      </c>
      <c r="I12" s="158" t="s">
        <v>100</v>
      </c>
      <c r="J12" s="159"/>
      <c r="K12" s="159" t="s">
        <v>100</v>
      </c>
      <c r="L12" s="159" t="s">
        <v>100</v>
      </c>
      <c r="M12" s="159" t="s">
        <v>100</v>
      </c>
      <c r="N12" s="159"/>
      <c r="O12" s="159"/>
      <c r="P12" s="159"/>
      <c r="Q12" s="159" t="str">
        <f t="shared" si="1"/>
        <v>AD</v>
      </c>
      <c r="R12" s="158" t="s">
        <v>100</v>
      </c>
      <c r="S12" s="170"/>
      <c r="T12" s="171" t="s">
        <v>100</v>
      </c>
      <c r="U12" s="171" t="s">
        <v>100</v>
      </c>
      <c r="V12" s="171" t="s">
        <v>100</v>
      </c>
      <c r="W12" s="308" t="s">
        <v>100</v>
      </c>
      <c r="X12" s="308"/>
      <c r="Y12" s="170" t="str">
        <f t="shared" si="2"/>
        <v>AD</v>
      </c>
      <c r="Z12" s="158" t="s">
        <v>100</v>
      </c>
      <c r="AA12" s="189"/>
      <c r="AB12" s="190"/>
      <c r="AC12" s="190"/>
      <c r="AD12" s="190"/>
      <c r="AE12" s="189"/>
      <c r="AF12" s="139"/>
      <c r="AG12" s="148" t="s">
        <v>100</v>
      </c>
      <c r="AH12" s="148" t="s">
        <v>100</v>
      </c>
      <c r="AI12" s="148" t="s">
        <v>100</v>
      </c>
      <c r="AJ12" s="172"/>
      <c r="AK12" s="308" t="s">
        <v>100</v>
      </c>
      <c r="AL12" s="148" t="str">
        <f t="shared" si="3"/>
        <v>AD</v>
      </c>
      <c r="AM12" s="158" t="s">
        <v>100</v>
      </c>
      <c r="AN12" s="159"/>
      <c r="AO12" s="159"/>
      <c r="AP12" s="159" t="s">
        <v>100</v>
      </c>
      <c r="AQ12" s="159" t="s">
        <v>105</v>
      </c>
      <c r="AR12" s="173"/>
      <c r="AS12" s="172" t="s">
        <v>102</v>
      </c>
      <c r="AT12" s="159" t="str">
        <f t="shared" si="4"/>
        <v>AD</v>
      </c>
      <c r="AU12" s="158" t="s">
        <v>102</v>
      </c>
      <c r="AV12" s="171"/>
      <c r="AW12" s="171" t="s">
        <v>101</v>
      </c>
      <c r="AX12" s="171" t="s">
        <v>100</v>
      </c>
      <c r="AY12" s="171" t="s">
        <v>101</v>
      </c>
      <c r="AZ12" s="172" t="s">
        <v>102</v>
      </c>
      <c r="BA12" s="173"/>
      <c r="BB12" s="172"/>
      <c r="BC12" s="171" t="str">
        <f t="shared" si="5"/>
        <v>AD</v>
      </c>
      <c r="BD12" s="158" t="s">
        <v>101</v>
      </c>
      <c r="BE12" s="190"/>
      <c r="BF12" s="190" t="s">
        <v>100</v>
      </c>
      <c r="BG12" s="190" t="s">
        <v>100</v>
      </c>
      <c r="BH12" s="189" t="s">
        <v>100</v>
      </c>
      <c r="BI12" s="308" t="s">
        <v>100</v>
      </c>
      <c r="BJ12" s="172" t="s">
        <v>102</v>
      </c>
      <c r="BK12" s="189" t="str">
        <f t="shared" si="6"/>
        <v>AD</v>
      </c>
      <c r="BL12" s="158" t="s">
        <v>101</v>
      </c>
      <c r="BM12" s="148"/>
      <c r="BN12" s="148"/>
      <c r="BO12" s="148"/>
      <c r="BP12" s="148"/>
      <c r="BQ12" s="148"/>
      <c r="BR12" s="159"/>
      <c r="BS12" s="225" t="s">
        <v>100</v>
      </c>
      <c r="BT12" s="225" t="s">
        <v>100</v>
      </c>
      <c r="BU12" s="225" t="s">
        <v>100</v>
      </c>
      <c r="BV12" s="172"/>
      <c r="BW12" s="308" t="s">
        <v>100</v>
      </c>
      <c r="BX12" s="172" t="s">
        <v>102</v>
      </c>
      <c r="BY12" s="225" t="str">
        <f t="shared" si="7"/>
        <v>AD</v>
      </c>
      <c r="BZ12" s="158" t="s">
        <v>101</v>
      </c>
      <c r="CA12" s="171"/>
      <c r="CB12" s="230" t="s">
        <v>101</v>
      </c>
      <c r="CC12" s="230" t="s">
        <v>101</v>
      </c>
      <c r="CD12" s="230"/>
      <c r="CE12" s="308" t="s">
        <v>100</v>
      </c>
      <c r="CF12" s="308" t="s">
        <v>100</v>
      </c>
      <c r="CG12" s="172" t="s">
        <v>102</v>
      </c>
      <c r="CH12" s="173"/>
      <c r="CI12" s="232" t="str">
        <f t="shared" si="8"/>
        <v>AD</v>
      </c>
      <c r="CJ12" s="158" t="s">
        <v>101</v>
      </c>
      <c r="CK12" s="189"/>
      <c r="CL12" s="189"/>
      <c r="CM12" s="189"/>
      <c r="CN12" s="189"/>
      <c r="CO12" s="148"/>
      <c r="CP12" s="148"/>
      <c r="CQ12" s="148"/>
      <c r="CR12" s="148"/>
      <c r="CS12" s="139"/>
      <c r="CT12" s="139"/>
      <c r="CU12" s="139"/>
      <c r="CV12" s="139"/>
      <c r="CW12" s="237" t="s">
        <v>100</v>
      </c>
      <c r="CX12" s="172" t="s">
        <v>105</v>
      </c>
      <c r="CY12" s="172" t="s">
        <v>100</v>
      </c>
      <c r="CZ12" s="172" t="s">
        <v>102</v>
      </c>
      <c r="DA12" t="e">
        <f t="shared" si="9"/>
        <v>#VALUE!</v>
      </c>
    </row>
    <row r="13" s="123" customFormat="1" ht="15" spans="1:105">
      <c r="A13" s="145">
        <v>7</v>
      </c>
      <c r="B13" s="146" t="str">
        <f>'RELACION ESTUDIANTES - 2022'!B12</f>
        <v>HERNANDEZ MUNIVE NICOLAS ERNESTO</v>
      </c>
      <c r="C13" s="147"/>
      <c r="D13" s="139" t="s">
        <v>100</v>
      </c>
      <c r="E13" s="139" t="s">
        <v>100</v>
      </c>
      <c r="F13" s="139" t="s">
        <v>100</v>
      </c>
      <c r="G13" s="147"/>
      <c r="H13" s="139" t="str">
        <f t="shared" si="0"/>
        <v>AD</v>
      </c>
      <c r="I13" s="158" t="s">
        <v>100</v>
      </c>
      <c r="J13" s="162"/>
      <c r="K13" s="159" t="s">
        <v>100</v>
      </c>
      <c r="L13" s="159" t="s">
        <v>100</v>
      </c>
      <c r="M13" s="159" t="s">
        <v>100</v>
      </c>
      <c r="N13" s="162"/>
      <c r="O13" s="162"/>
      <c r="P13" s="162"/>
      <c r="Q13" s="159" t="str">
        <f t="shared" si="1"/>
        <v>AD</v>
      </c>
      <c r="R13" s="158" t="s">
        <v>100</v>
      </c>
      <c r="S13" s="176"/>
      <c r="T13" s="171" t="s">
        <v>100</v>
      </c>
      <c r="U13" s="171" t="s">
        <v>101</v>
      </c>
      <c r="V13" s="171" t="s">
        <v>100</v>
      </c>
      <c r="W13" s="308" t="s">
        <v>100</v>
      </c>
      <c r="X13" s="308"/>
      <c r="Y13" s="170" t="str">
        <f t="shared" si="2"/>
        <v>AD</v>
      </c>
      <c r="Z13" s="158" t="s">
        <v>100</v>
      </c>
      <c r="AA13" s="193"/>
      <c r="AB13" s="194"/>
      <c r="AC13" s="194"/>
      <c r="AD13" s="194"/>
      <c r="AE13" s="309"/>
      <c r="AF13" s="147"/>
      <c r="AG13" s="148" t="s">
        <v>100</v>
      </c>
      <c r="AH13" s="148" t="s">
        <v>100</v>
      </c>
      <c r="AI13" s="148" t="s">
        <v>102</v>
      </c>
      <c r="AJ13" s="172"/>
      <c r="AK13" s="308" t="s">
        <v>100</v>
      </c>
      <c r="AL13" s="148" t="str">
        <f t="shared" si="3"/>
        <v>AD</v>
      </c>
      <c r="AM13" s="158" t="s">
        <v>101</v>
      </c>
      <c r="AN13" s="162"/>
      <c r="AO13" s="159"/>
      <c r="AP13" s="159" t="s">
        <v>102</v>
      </c>
      <c r="AQ13" s="159" t="s">
        <v>100</v>
      </c>
      <c r="AR13" s="173"/>
      <c r="AS13" s="172" t="s">
        <v>100</v>
      </c>
      <c r="AT13" s="159" t="str">
        <f t="shared" si="4"/>
        <v>AD</v>
      </c>
      <c r="AU13" s="158" t="s">
        <v>101</v>
      </c>
      <c r="AV13" s="313"/>
      <c r="AW13" s="171" t="s">
        <v>101</v>
      </c>
      <c r="AX13" s="171" t="s">
        <v>100</v>
      </c>
      <c r="AY13" s="171" t="s">
        <v>100</v>
      </c>
      <c r="AZ13" s="172" t="s">
        <v>100</v>
      </c>
      <c r="BA13" s="173"/>
      <c r="BB13" s="172"/>
      <c r="BC13" s="171" t="str">
        <f t="shared" si="5"/>
        <v>AD</v>
      </c>
      <c r="BD13" s="158" t="s">
        <v>100</v>
      </c>
      <c r="BE13" s="194"/>
      <c r="BF13" s="190" t="s">
        <v>100</v>
      </c>
      <c r="BG13" s="190" t="s">
        <v>100</v>
      </c>
      <c r="BH13" s="189" t="s">
        <v>100</v>
      </c>
      <c r="BI13" s="308" t="s">
        <v>100</v>
      </c>
      <c r="BJ13" s="172" t="s">
        <v>100</v>
      </c>
      <c r="BK13" s="189" t="str">
        <f t="shared" si="6"/>
        <v>AD</v>
      </c>
      <c r="BL13" s="158" t="s">
        <v>100</v>
      </c>
      <c r="BM13" s="226"/>
      <c r="BN13" s="226"/>
      <c r="BO13" s="226"/>
      <c r="BP13" s="226"/>
      <c r="BQ13" s="314"/>
      <c r="BR13" s="162"/>
      <c r="BS13" s="225" t="s">
        <v>100</v>
      </c>
      <c r="BT13" s="225" t="s">
        <v>100</v>
      </c>
      <c r="BU13" s="225" t="s">
        <v>100</v>
      </c>
      <c r="BV13" s="172"/>
      <c r="BW13" s="308" t="s">
        <v>100</v>
      </c>
      <c r="BX13" s="172" t="s">
        <v>100</v>
      </c>
      <c r="BY13" s="225" t="str">
        <f t="shared" si="7"/>
        <v>AD</v>
      </c>
      <c r="BZ13" s="158" t="s">
        <v>100</v>
      </c>
      <c r="CA13" s="313"/>
      <c r="CB13" s="230" t="s">
        <v>100</v>
      </c>
      <c r="CC13" s="230" t="s">
        <v>100</v>
      </c>
      <c r="CD13" s="231"/>
      <c r="CE13" s="308" t="s">
        <v>100</v>
      </c>
      <c r="CF13" s="308" t="s">
        <v>100</v>
      </c>
      <c r="CG13" s="172" t="s">
        <v>100</v>
      </c>
      <c r="CH13" s="173"/>
      <c r="CI13" s="232" t="str">
        <f t="shared" si="8"/>
        <v>AD</v>
      </c>
      <c r="CJ13" s="158" t="s">
        <v>100</v>
      </c>
      <c r="CK13" s="193"/>
      <c r="CL13" s="193"/>
      <c r="CM13" s="193"/>
      <c r="CN13" s="309"/>
      <c r="CO13" s="226"/>
      <c r="CP13" s="226"/>
      <c r="CQ13" s="226"/>
      <c r="CR13" s="314"/>
      <c r="CS13" s="162"/>
      <c r="CT13" s="162"/>
      <c r="CU13" s="162"/>
      <c r="CV13" s="162"/>
      <c r="CW13" s="238" t="s">
        <v>100</v>
      </c>
      <c r="CX13" s="172" t="s">
        <v>101</v>
      </c>
      <c r="CY13" s="172" t="s">
        <v>100</v>
      </c>
      <c r="CZ13" s="172" t="s">
        <v>100</v>
      </c>
      <c r="DA13" s="123" t="e">
        <f t="shared" si="9"/>
        <v>#VALUE!</v>
      </c>
    </row>
    <row r="14" ht="15" spans="1:105">
      <c r="A14" s="137">
        <v>8</v>
      </c>
      <c r="B14" s="138" t="str">
        <f>'RELACION ESTUDIANTES - 2022'!B13</f>
        <v>NAVAS GOMEZ BENJAMIN HUMBERTO</v>
      </c>
      <c r="C14" s="139"/>
      <c r="D14" s="139" t="s">
        <v>101</v>
      </c>
      <c r="E14" s="139" t="s">
        <v>101</v>
      </c>
      <c r="F14" s="139" t="s">
        <v>100</v>
      </c>
      <c r="G14" s="139"/>
      <c r="H14" s="139" t="str">
        <f t="shared" si="0"/>
        <v>AD</v>
      </c>
      <c r="I14" s="158" t="s">
        <v>101</v>
      </c>
      <c r="J14" s="159"/>
      <c r="K14" s="159" t="s">
        <v>100</v>
      </c>
      <c r="L14" s="159" t="s">
        <v>100</v>
      </c>
      <c r="M14" s="159" t="s">
        <v>100</v>
      </c>
      <c r="N14" s="159"/>
      <c r="O14" s="159"/>
      <c r="P14" s="159"/>
      <c r="Q14" s="159" t="str">
        <f t="shared" si="1"/>
        <v>AD</v>
      </c>
      <c r="R14" s="158" t="s">
        <v>100</v>
      </c>
      <c r="S14" s="170"/>
      <c r="T14" s="171" t="s">
        <v>100</v>
      </c>
      <c r="U14" s="171" t="s">
        <v>100</v>
      </c>
      <c r="V14" s="171" t="s">
        <v>100</v>
      </c>
      <c r="W14" s="308" t="s">
        <v>100</v>
      </c>
      <c r="X14" s="308"/>
      <c r="Y14" s="170" t="str">
        <f t="shared" si="2"/>
        <v>AD</v>
      </c>
      <c r="Z14" s="158" t="s">
        <v>100</v>
      </c>
      <c r="AA14" s="189"/>
      <c r="AB14" s="190"/>
      <c r="AC14" s="190"/>
      <c r="AD14" s="190"/>
      <c r="AE14" s="189"/>
      <c r="AF14" s="139"/>
      <c r="AG14" s="148" t="s">
        <v>100</v>
      </c>
      <c r="AH14" s="148" t="s">
        <v>101</v>
      </c>
      <c r="AI14" s="148" t="s">
        <v>100</v>
      </c>
      <c r="AJ14" s="172"/>
      <c r="AK14" s="308" t="s">
        <v>100</v>
      </c>
      <c r="AL14" s="148" t="str">
        <f t="shared" si="3"/>
        <v>AD</v>
      </c>
      <c r="AM14" s="158" t="s">
        <v>100</v>
      </c>
      <c r="AN14" s="159"/>
      <c r="AO14" s="159"/>
      <c r="AP14" s="159" t="s">
        <v>101</v>
      </c>
      <c r="AQ14" s="159" t="s">
        <v>101</v>
      </c>
      <c r="AR14" s="173"/>
      <c r="AS14" s="172" t="s">
        <v>102</v>
      </c>
      <c r="AT14" s="159" t="str">
        <f t="shared" si="4"/>
        <v>AD</v>
      </c>
      <c r="AU14" s="158" t="s">
        <v>101</v>
      </c>
      <c r="AV14" s="171"/>
      <c r="AW14" s="171" t="s">
        <v>101</v>
      </c>
      <c r="AX14" s="171" t="s">
        <v>100</v>
      </c>
      <c r="AY14" s="171" t="s">
        <v>101</v>
      </c>
      <c r="AZ14" s="172" t="s">
        <v>102</v>
      </c>
      <c r="BA14" s="173"/>
      <c r="BB14" s="172"/>
      <c r="BC14" s="171" t="str">
        <f t="shared" si="5"/>
        <v>AD</v>
      </c>
      <c r="BD14" s="158" t="s">
        <v>101</v>
      </c>
      <c r="BE14" s="190"/>
      <c r="BF14" s="190" t="s">
        <v>100</v>
      </c>
      <c r="BG14" s="190" t="s">
        <v>102</v>
      </c>
      <c r="BH14" s="189" t="s">
        <v>101</v>
      </c>
      <c r="BI14" s="308" t="s">
        <v>100</v>
      </c>
      <c r="BJ14" s="172" t="s">
        <v>102</v>
      </c>
      <c r="BK14" s="189" t="str">
        <f t="shared" si="6"/>
        <v>AD</v>
      </c>
      <c r="BL14" s="158" t="s">
        <v>101</v>
      </c>
      <c r="BM14" s="148"/>
      <c r="BN14" s="148"/>
      <c r="BO14" s="148"/>
      <c r="BP14" s="148"/>
      <c r="BQ14" s="148"/>
      <c r="BR14" s="159"/>
      <c r="BS14" s="225" t="s">
        <v>101</v>
      </c>
      <c r="BT14" s="225" t="s">
        <v>101</v>
      </c>
      <c r="BU14" s="225" t="s">
        <v>101</v>
      </c>
      <c r="BV14" s="172"/>
      <c r="BW14" s="308" t="s">
        <v>100</v>
      </c>
      <c r="BX14" s="172" t="s">
        <v>102</v>
      </c>
      <c r="BY14" s="225" t="str">
        <f t="shared" si="7"/>
        <v>AD</v>
      </c>
      <c r="BZ14" s="158" t="s">
        <v>101</v>
      </c>
      <c r="CA14" s="171"/>
      <c r="CB14" s="230" t="s">
        <v>100</v>
      </c>
      <c r="CC14" s="230" t="s">
        <v>100</v>
      </c>
      <c r="CD14" s="230"/>
      <c r="CE14" s="308" t="s">
        <v>100</v>
      </c>
      <c r="CF14" s="308" t="s">
        <v>100</v>
      </c>
      <c r="CG14" s="172" t="s">
        <v>102</v>
      </c>
      <c r="CH14" s="173"/>
      <c r="CI14" s="232" t="str">
        <f t="shared" si="8"/>
        <v>AD</v>
      </c>
      <c r="CJ14" s="158" t="s">
        <v>101</v>
      </c>
      <c r="CK14" s="189"/>
      <c r="CL14" s="189"/>
      <c r="CM14" s="189"/>
      <c r="CN14" s="189"/>
      <c r="CO14" s="148"/>
      <c r="CP14" s="148"/>
      <c r="CQ14" s="148"/>
      <c r="CR14" s="148"/>
      <c r="CS14" s="139"/>
      <c r="CT14" s="139"/>
      <c r="CU14" s="139"/>
      <c r="CV14" s="139"/>
      <c r="CW14" s="237" t="s">
        <v>100</v>
      </c>
      <c r="CX14" s="172" t="s">
        <v>105</v>
      </c>
      <c r="CY14" s="172" t="s">
        <v>100</v>
      </c>
      <c r="CZ14" s="172" t="s">
        <v>102</v>
      </c>
      <c r="DA14" t="e">
        <f t="shared" si="9"/>
        <v>#VALUE!</v>
      </c>
    </row>
    <row r="15" ht="15" spans="1:105">
      <c r="A15" s="137">
        <v>9</v>
      </c>
      <c r="B15" s="138" t="str">
        <f>'RELACION ESTUDIANTES - 2022'!B14</f>
        <v>PACHECO ESPILLCO MATIAS DEYAIR</v>
      </c>
      <c r="C15" s="139"/>
      <c r="D15" s="139" t="s">
        <v>101</v>
      </c>
      <c r="E15" s="139" t="s">
        <v>100</v>
      </c>
      <c r="F15" s="139" t="s">
        <v>101</v>
      </c>
      <c r="G15" s="139"/>
      <c r="H15" s="139" t="str">
        <f t="shared" si="0"/>
        <v>AD</v>
      </c>
      <c r="I15" s="158" t="s">
        <v>101</v>
      </c>
      <c r="J15" s="159"/>
      <c r="K15" s="159" t="s">
        <v>102</v>
      </c>
      <c r="L15" s="159" t="s">
        <v>100</v>
      </c>
      <c r="M15" s="159" t="s">
        <v>100</v>
      </c>
      <c r="N15" s="159"/>
      <c r="O15" s="159"/>
      <c r="P15" s="159"/>
      <c r="Q15" s="159" t="str">
        <f t="shared" si="1"/>
        <v>AD</v>
      </c>
      <c r="R15" s="158" t="s">
        <v>101</v>
      </c>
      <c r="S15" s="170"/>
      <c r="T15" s="171" t="s">
        <v>100</v>
      </c>
      <c r="U15" s="171" t="s">
        <v>100</v>
      </c>
      <c r="V15" s="171" t="s">
        <v>100</v>
      </c>
      <c r="W15" s="308" t="s">
        <v>101</v>
      </c>
      <c r="X15" s="308"/>
      <c r="Y15" s="170" t="str">
        <f t="shared" si="2"/>
        <v>AD</v>
      </c>
      <c r="Z15" s="158" t="s">
        <v>100</v>
      </c>
      <c r="AA15" s="189"/>
      <c r="AB15" s="190"/>
      <c r="AC15" s="190"/>
      <c r="AD15" s="190"/>
      <c r="AE15" s="189"/>
      <c r="AF15" s="139"/>
      <c r="AG15" s="148" t="s">
        <v>100</v>
      </c>
      <c r="AH15" s="148" t="s">
        <v>100</v>
      </c>
      <c r="AI15" s="148" t="s">
        <v>100</v>
      </c>
      <c r="AJ15" s="172"/>
      <c r="AK15" s="308" t="s">
        <v>100</v>
      </c>
      <c r="AL15" s="148" t="str">
        <f t="shared" si="3"/>
        <v>AD</v>
      </c>
      <c r="AM15" s="158" t="s">
        <v>100</v>
      </c>
      <c r="AN15" s="159"/>
      <c r="AO15" s="159"/>
      <c r="AP15" s="159" t="s">
        <v>102</v>
      </c>
      <c r="AQ15" s="159" t="s">
        <v>101</v>
      </c>
      <c r="AR15" s="173"/>
      <c r="AS15" s="172" t="s">
        <v>100</v>
      </c>
      <c r="AT15" s="159" t="str">
        <f t="shared" si="4"/>
        <v>AD</v>
      </c>
      <c r="AU15" s="158" t="s">
        <v>101</v>
      </c>
      <c r="AV15" s="171"/>
      <c r="AW15" s="171" t="s">
        <v>101</v>
      </c>
      <c r="AX15" s="171" t="s">
        <v>100</v>
      </c>
      <c r="AY15" s="171" t="s">
        <v>102</v>
      </c>
      <c r="AZ15" s="172" t="s">
        <v>100</v>
      </c>
      <c r="BA15" s="173"/>
      <c r="BB15" s="172"/>
      <c r="BC15" s="171" t="str">
        <f t="shared" si="5"/>
        <v>AD</v>
      </c>
      <c r="BD15" s="158" t="s">
        <v>101</v>
      </c>
      <c r="BE15" s="190"/>
      <c r="BF15" s="190" t="s">
        <v>101</v>
      </c>
      <c r="BG15" s="190" t="s">
        <v>100</v>
      </c>
      <c r="BH15" s="189" t="s">
        <v>102</v>
      </c>
      <c r="BI15" s="308" t="s">
        <v>100</v>
      </c>
      <c r="BJ15" s="172" t="s">
        <v>100</v>
      </c>
      <c r="BK15" s="189" t="str">
        <f t="shared" si="6"/>
        <v>AD</v>
      </c>
      <c r="BL15" s="158" t="s">
        <v>101</v>
      </c>
      <c r="BM15" s="148"/>
      <c r="BN15" s="148"/>
      <c r="BO15" s="148"/>
      <c r="BP15" s="148"/>
      <c r="BQ15" s="148"/>
      <c r="BR15" s="159"/>
      <c r="BS15" s="225" t="s">
        <v>100</v>
      </c>
      <c r="BT15" s="225" t="s">
        <v>100</v>
      </c>
      <c r="BU15" s="225" t="s">
        <v>101</v>
      </c>
      <c r="BV15" s="172"/>
      <c r="BW15" s="308" t="s">
        <v>101</v>
      </c>
      <c r="BX15" s="172" t="s">
        <v>100</v>
      </c>
      <c r="BY15" s="225" t="str">
        <f t="shared" si="7"/>
        <v>AD</v>
      </c>
      <c r="BZ15" s="158" t="s">
        <v>101</v>
      </c>
      <c r="CA15" s="171"/>
      <c r="CB15" s="230" t="s">
        <v>102</v>
      </c>
      <c r="CC15" s="230" t="s">
        <v>101</v>
      </c>
      <c r="CD15" s="230"/>
      <c r="CE15" s="308" t="s">
        <v>101</v>
      </c>
      <c r="CF15" s="308" t="s">
        <v>100</v>
      </c>
      <c r="CG15" s="172" t="s">
        <v>100</v>
      </c>
      <c r="CH15" s="173"/>
      <c r="CI15" s="232" t="str">
        <f t="shared" si="8"/>
        <v>AD</v>
      </c>
      <c r="CJ15" s="158" t="s">
        <v>101</v>
      </c>
      <c r="CK15" s="189"/>
      <c r="CL15" s="189"/>
      <c r="CM15" s="189"/>
      <c r="CN15" s="189"/>
      <c r="CO15" s="148"/>
      <c r="CP15" s="148"/>
      <c r="CQ15" s="148"/>
      <c r="CR15" s="148"/>
      <c r="CS15" s="139"/>
      <c r="CT15" s="139"/>
      <c r="CU15" s="139"/>
      <c r="CV15" s="139"/>
      <c r="CW15" s="237" t="s">
        <v>100</v>
      </c>
      <c r="CX15" s="172" t="s">
        <v>101</v>
      </c>
      <c r="CY15" s="172" t="s">
        <v>100</v>
      </c>
      <c r="CZ15" s="172" t="s">
        <v>100</v>
      </c>
      <c r="DA15" t="e">
        <f t="shared" si="9"/>
        <v>#VALUE!</v>
      </c>
    </row>
    <row r="16" ht="15" spans="1:105">
      <c r="A16" s="137">
        <v>10</v>
      </c>
      <c r="B16" s="138" t="str">
        <f>'RELACION ESTUDIANTES - 2022'!B15</f>
        <v>RAMIREZ ESCRIBA JHERCY HUSCIEL</v>
      </c>
      <c r="C16" s="139"/>
      <c r="D16" s="139" t="s">
        <v>100</v>
      </c>
      <c r="E16" s="139" t="s">
        <v>101</v>
      </c>
      <c r="F16" s="139" t="s">
        <v>105</v>
      </c>
      <c r="G16" s="139"/>
      <c r="H16" s="139" t="str">
        <f t="shared" si="0"/>
        <v>AD</v>
      </c>
      <c r="I16" s="158" t="s">
        <v>101</v>
      </c>
      <c r="J16" s="159"/>
      <c r="K16" s="159" t="s">
        <v>101</v>
      </c>
      <c r="L16" s="159" t="s">
        <v>100</v>
      </c>
      <c r="M16" s="159" t="s">
        <v>100</v>
      </c>
      <c r="N16" s="159"/>
      <c r="O16" s="159"/>
      <c r="P16" s="159"/>
      <c r="Q16" s="159" t="str">
        <f t="shared" si="1"/>
        <v>AD</v>
      </c>
      <c r="R16" s="158" t="s">
        <v>100</v>
      </c>
      <c r="S16" s="170"/>
      <c r="T16" s="171" t="s">
        <v>105</v>
      </c>
      <c r="U16" s="171" t="s">
        <v>100</v>
      </c>
      <c r="V16" s="171" t="s">
        <v>102</v>
      </c>
      <c r="W16" s="308" t="s">
        <v>101</v>
      </c>
      <c r="X16" s="308"/>
      <c r="Y16" s="170" t="str">
        <f t="shared" si="2"/>
        <v>AD</v>
      </c>
      <c r="Z16" s="158" t="s">
        <v>102</v>
      </c>
      <c r="AA16" s="189"/>
      <c r="AB16" s="190"/>
      <c r="AC16" s="190"/>
      <c r="AD16" s="190"/>
      <c r="AE16" s="189"/>
      <c r="AF16" s="139"/>
      <c r="AG16" s="148" t="s">
        <v>100</v>
      </c>
      <c r="AH16" s="148" t="s">
        <v>100</v>
      </c>
      <c r="AI16" s="148" t="s">
        <v>100</v>
      </c>
      <c r="AJ16" s="172"/>
      <c r="AK16" s="308" t="s">
        <v>100</v>
      </c>
      <c r="AL16" s="148" t="str">
        <f t="shared" si="3"/>
        <v>AD</v>
      </c>
      <c r="AM16" s="158" t="s">
        <v>100</v>
      </c>
      <c r="AN16" s="159"/>
      <c r="AO16" s="159"/>
      <c r="AP16" s="159" t="s">
        <v>100</v>
      </c>
      <c r="AQ16" s="159" t="s">
        <v>100</v>
      </c>
      <c r="AR16" s="173"/>
      <c r="AS16" s="172" t="s">
        <v>100</v>
      </c>
      <c r="AT16" s="159" t="str">
        <f t="shared" si="4"/>
        <v>AD</v>
      </c>
      <c r="AU16" s="158" t="s">
        <v>100</v>
      </c>
      <c r="AV16" s="171"/>
      <c r="AW16" s="171" t="s">
        <v>101</v>
      </c>
      <c r="AX16" s="171" t="s">
        <v>100</v>
      </c>
      <c r="AY16" s="171" t="s">
        <v>105</v>
      </c>
      <c r="AZ16" s="172" t="s">
        <v>100</v>
      </c>
      <c r="BA16" s="173"/>
      <c r="BB16" s="172"/>
      <c r="BC16" s="171" t="str">
        <f t="shared" si="5"/>
        <v>AD</v>
      </c>
      <c r="BD16" s="158" t="s">
        <v>102</v>
      </c>
      <c r="BE16" s="190"/>
      <c r="BF16" s="190" t="s">
        <v>100</v>
      </c>
      <c r="BG16" s="190" t="s">
        <v>102</v>
      </c>
      <c r="BH16" s="189" t="s">
        <v>101</v>
      </c>
      <c r="BI16" s="308" t="s">
        <v>100</v>
      </c>
      <c r="BJ16" s="172" t="s">
        <v>100</v>
      </c>
      <c r="BK16" s="189" t="str">
        <f t="shared" si="6"/>
        <v>AD</v>
      </c>
      <c r="BL16" s="158" t="s">
        <v>101</v>
      </c>
      <c r="BM16" s="148"/>
      <c r="BN16" s="148"/>
      <c r="BO16" s="148"/>
      <c r="BP16" s="148"/>
      <c r="BQ16" s="148"/>
      <c r="BR16" s="159"/>
      <c r="BS16" s="225" t="s">
        <v>101</v>
      </c>
      <c r="BT16" s="225" t="s">
        <v>100</v>
      </c>
      <c r="BU16" s="225" t="s">
        <v>102</v>
      </c>
      <c r="BV16" s="172"/>
      <c r="BW16" s="308" t="s">
        <v>101</v>
      </c>
      <c r="BX16" s="172" t="s">
        <v>100</v>
      </c>
      <c r="BY16" s="225" t="str">
        <f t="shared" si="7"/>
        <v>AD</v>
      </c>
      <c r="BZ16" s="158" t="s">
        <v>101</v>
      </c>
      <c r="CA16" s="171"/>
      <c r="CB16" s="230" t="s">
        <v>100</v>
      </c>
      <c r="CC16" s="230" t="s">
        <v>101</v>
      </c>
      <c r="CD16" s="230"/>
      <c r="CE16" s="308" t="s">
        <v>101</v>
      </c>
      <c r="CF16" s="308" t="s">
        <v>100</v>
      </c>
      <c r="CG16" s="172" t="s">
        <v>100</v>
      </c>
      <c r="CH16" s="173"/>
      <c r="CI16" s="232" t="str">
        <f t="shared" si="8"/>
        <v>AD</v>
      </c>
      <c r="CJ16" s="158" t="s">
        <v>101</v>
      </c>
      <c r="CK16" s="189"/>
      <c r="CL16" s="189"/>
      <c r="CM16" s="189"/>
      <c r="CN16" s="189"/>
      <c r="CO16" s="148"/>
      <c r="CP16" s="148"/>
      <c r="CQ16" s="148"/>
      <c r="CR16" s="148"/>
      <c r="CS16" s="139"/>
      <c r="CT16" s="139"/>
      <c r="CU16" s="139"/>
      <c r="CV16" s="139"/>
      <c r="CW16" s="237" t="s">
        <v>100</v>
      </c>
      <c r="CX16" s="172" t="s">
        <v>101</v>
      </c>
      <c r="CY16" s="172" t="s">
        <v>100</v>
      </c>
      <c r="CZ16" s="172" t="s">
        <v>100</v>
      </c>
      <c r="DA16" t="e">
        <f t="shared" si="9"/>
        <v>#VALUE!</v>
      </c>
    </row>
    <row r="17" ht="15" spans="1:105">
      <c r="A17" s="137">
        <v>11</v>
      </c>
      <c r="B17" s="138" t="str">
        <f>'RELACION ESTUDIANTES - 2022'!B16</f>
        <v>SANCHEZ SANTIAGO KALEB MOISES</v>
      </c>
      <c r="C17" s="139"/>
      <c r="D17" s="139" t="s">
        <v>100</v>
      </c>
      <c r="E17" s="139" t="s">
        <v>102</v>
      </c>
      <c r="F17" s="139" t="s">
        <v>101</v>
      </c>
      <c r="G17" s="139"/>
      <c r="H17" s="139" t="str">
        <f t="shared" si="0"/>
        <v>AD</v>
      </c>
      <c r="I17" s="158" t="s">
        <v>101</v>
      </c>
      <c r="J17" s="159"/>
      <c r="K17" s="159" t="s">
        <v>100</v>
      </c>
      <c r="L17" s="159" t="s">
        <v>102</v>
      </c>
      <c r="M17" s="159" t="s">
        <v>100</v>
      </c>
      <c r="N17" s="159"/>
      <c r="O17" s="159"/>
      <c r="P17" s="159"/>
      <c r="Q17" s="159" t="str">
        <f t="shared" si="1"/>
        <v>AD</v>
      </c>
      <c r="R17" s="158" t="s">
        <v>101</v>
      </c>
      <c r="S17" s="170"/>
      <c r="T17" s="171" t="s">
        <v>100</v>
      </c>
      <c r="U17" s="171" t="s">
        <v>100</v>
      </c>
      <c r="V17" s="171" t="s">
        <v>100</v>
      </c>
      <c r="W17" s="308" t="s">
        <v>101</v>
      </c>
      <c r="X17" s="308"/>
      <c r="Y17" s="170" t="str">
        <f t="shared" si="2"/>
        <v>AD</v>
      </c>
      <c r="Z17" s="158" t="s">
        <v>100</v>
      </c>
      <c r="AA17" s="190"/>
      <c r="AB17" s="190"/>
      <c r="AC17" s="190"/>
      <c r="AD17" s="190"/>
      <c r="AE17" s="190"/>
      <c r="AF17" s="148"/>
      <c r="AG17" s="148" t="s">
        <v>102</v>
      </c>
      <c r="AH17" s="148" t="s">
        <v>101</v>
      </c>
      <c r="AI17" s="148" t="s">
        <v>102</v>
      </c>
      <c r="AJ17" s="172"/>
      <c r="AK17" s="308" t="s">
        <v>101</v>
      </c>
      <c r="AL17" s="148" t="str">
        <f t="shared" si="3"/>
        <v>AD</v>
      </c>
      <c r="AM17" s="158" t="s">
        <v>101</v>
      </c>
      <c r="AN17" s="159"/>
      <c r="AO17" s="159"/>
      <c r="AP17" s="159" t="s">
        <v>101</v>
      </c>
      <c r="AQ17" s="159" t="s">
        <v>101</v>
      </c>
      <c r="AR17" s="173"/>
      <c r="AS17" s="172" t="s">
        <v>102</v>
      </c>
      <c r="AT17" s="159" t="str">
        <f t="shared" si="4"/>
        <v>AD</v>
      </c>
      <c r="AU17" s="158" t="s">
        <v>101</v>
      </c>
      <c r="AV17" s="171"/>
      <c r="AW17" s="171" t="s">
        <v>101</v>
      </c>
      <c r="AX17" s="171" t="s">
        <v>105</v>
      </c>
      <c r="AY17" s="171" t="s">
        <v>102</v>
      </c>
      <c r="AZ17" s="172" t="s">
        <v>102</v>
      </c>
      <c r="BA17" s="173"/>
      <c r="BB17" s="172"/>
      <c r="BC17" s="171" t="str">
        <f t="shared" si="5"/>
        <v>AD</v>
      </c>
      <c r="BD17" s="158" t="s">
        <v>102</v>
      </c>
      <c r="BE17" s="190"/>
      <c r="BF17" s="190" t="s">
        <v>100</v>
      </c>
      <c r="BG17" s="190" t="s">
        <v>100</v>
      </c>
      <c r="BH17" s="189" t="s">
        <v>101</v>
      </c>
      <c r="BI17" s="308" t="s">
        <v>101</v>
      </c>
      <c r="BJ17" s="172" t="s">
        <v>102</v>
      </c>
      <c r="BK17" s="189" t="str">
        <f t="shared" si="6"/>
        <v>AD</v>
      </c>
      <c r="BL17" s="158" t="s">
        <v>101</v>
      </c>
      <c r="BM17" s="148"/>
      <c r="BN17" s="148"/>
      <c r="BO17" s="148"/>
      <c r="BP17" s="148"/>
      <c r="BQ17" s="148"/>
      <c r="BR17" s="159"/>
      <c r="BS17" s="225" t="s">
        <v>101</v>
      </c>
      <c r="BT17" s="225" t="s">
        <v>101</v>
      </c>
      <c r="BU17" s="225" t="s">
        <v>102</v>
      </c>
      <c r="BV17" s="172"/>
      <c r="BW17" s="308" t="s">
        <v>101</v>
      </c>
      <c r="BX17" s="172" t="s">
        <v>102</v>
      </c>
      <c r="BY17" s="225" t="str">
        <f t="shared" si="7"/>
        <v>AD</v>
      </c>
      <c r="BZ17" s="158" t="s">
        <v>101</v>
      </c>
      <c r="CA17" s="230"/>
      <c r="CB17" s="230" t="s">
        <v>100</v>
      </c>
      <c r="CC17" s="230" t="s">
        <v>101</v>
      </c>
      <c r="CD17" s="230"/>
      <c r="CE17" s="308" t="s">
        <v>101</v>
      </c>
      <c r="CF17" s="308" t="s">
        <v>101</v>
      </c>
      <c r="CG17" s="172" t="s">
        <v>102</v>
      </c>
      <c r="CH17" s="173"/>
      <c r="CI17" s="232" t="str">
        <f t="shared" si="8"/>
        <v>AD</v>
      </c>
      <c r="CJ17" s="158" t="s">
        <v>101</v>
      </c>
      <c r="CK17" s="189"/>
      <c r="CL17" s="189"/>
      <c r="CM17" s="189"/>
      <c r="CN17" s="189"/>
      <c r="CO17" s="148"/>
      <c r="CP17" s="148"/>
      <c r="CQ17" s="148"/>
      <c r="CR17" s="148"/>
      <c r="CS17" s="139"/>
      <c r="CT17" s="139"/>
      <c r="CU17" s="139"/>
      <c r="CV17" s="139"/>
      <c r="CW17" s="237" t="s">
        <v>100</v>
      </c>
      <c r="CX17" s="172" t="s">
        <v>105</v>
      </c>
      <c r="CY17" s="172" t="s">
        <v>102</v>
      </c>
      <c r="CZ17" s="172" t="s">
        <v>102</v>
      </c>
      <c r="DA17" t="e">
        <f t="shared" si="9"/>
        <v>#VALUE!</v>
      </c>
    </row>
    <row r="18" s="307" customFormat="1" ht="15" spans="1:105">
      <c r="A18" s="137">
        <v>12</v>
      </c>
      <c r="B18" s="138" t="str">
        <f>'RELACION ESTUDIANTES - 2022'!B17</f>
        <v>SEGOVIA LICAS DANGELO KENDALL</v>
      </c>
      <c r="C18" s="139"/>
      <c r="D18" s="139" t="s">
        <v>101</v>
      </c>
      <c r="E18" s="139" t="s">
        <v>102</v>
      </c>
      <c r="F18" s="139" t="s">
        <v>101</v>
      </c>
      <c r="G18" s="139"/>
      <c r="H18" s="139" t="str">
        <f t="shared" si="0"/>
        <v>AD</v>
      </c>
      <c r="I18" s="158" t="s">
        <v>101</v>
      </c>
      <c r="J18" s="159"/>
      <c r="K18" s="159" t="s">
        <v>101</v>
      </c>
      <c r="L18" s="159" t="s">
        <v>101</v>
      </c>
      <c r="M18" s="159" t="s">
        <v>101</v>
      </c>
      <c r="N18" s="159"/>
      <c r="O18" s="159"/>
      <c r="P18" s="159"/>
      <c r="Q18" s="159" t="str">
        <f t="shared" si="1"/>
        <v>AD</v>
      </c>
      <c r="R18" s="158" t="s">
        <v>101</v>
      </c>
      <c r="S18" s="170"/>
      <c r="T18" s="171" t="s">
        <v>100</v>
      </c>
      <c r="U18" s="171" t="s">
        <v>100</v>
      </c>
      <c r="V18" s="171" t="s">
        <v>100</v>
      </c>
      <c r="W18" s="308" t="s">
        <v>101</v>
      </c>
      <c r="X18" s="308"/>
      <c r="Y18" s="170" t="str">
        <f t="shared" si="2"/>
        <v>AD</v>
      </c>
      <c r="Z18" s="158" t="s">
        <v>100</v>
      </c>
      <c r="AA18" s="190"/>
      <c r="AB18" s="190"/>
      <c r="AC18" s="190"/>
      <c r="AD18" s="190"/>
      <c r="AE18" s="190"/>
      <c r="AF18" s="148"/>
      <c r="AG18" s="148" t="s">
        <v>102</v>
      </c>
      <c r="AH18" s="148" t="s">
        <v>101</v>
      </c>
      <c r="AI18" s="148" t="s">
        <v>100</v>
      </c>
      <c r="AJ18" s="172"/>
      <c r="AK18" s="308" t="s">
        <v>100</v>
      </c>
      <c r="AL18" s="148" t="str">
        <f t="shared" si="3"/>
        <v>AD</v>
      </c>
      <c r="AM18" s="158" t="s">
        <v>101</v>
      </c>
      <c r="AN18" s="159"/>
      <c r="AO18" s="159"/>
      <c r="AP18" s="159" t="s">
        <v>101</v>
      </c>
      <c r="AQ18" s="159" t="s">
        <v>100</v>
      </c>
      <c r="AR18" s="173"/>
      <c r="AS18" s="172" t="s">
        <v>102</v>
      </c>
      <c r="AT18" s="159" t="str">
        <f t="shared" si="4"/>
        <v>AD</v>
      </c>
      <c r="AU18" s="158" t="s">
        <v>101</v>
      </c>
      <c r="AV18" s="171"/>
      <c r="AW18" s="171" t="s">
        <v>101</v>
      </c>
      <c r="AX18" s="171" t="s">
        <v>101</v>
      </c>
      <c r="AY18" s="171" t="s">
        <v>105</v>
      </c>
      <c r="AZ18" s="172" t="s">
        <v>102</v>
      </c>
      <c r="BA18" s="173"/>
      <c r="BB18" s="172"/>
      <c r="BC18" s="171" t="str">
        <f t="shared" si="5"/>
        <v>AD</v>
      </c>
      <c r="BD18" s="158" t="s">
        <v>102</v>
      </c>
      <c r="BE18" s="190"/>
      <c r="BF18" s="190" t="s">
        <v>101</v>
      </c>
      <c r="BG18" s="190" t="s">
        <v>102</v>
      </c>
      <c r="BH18" s="189" t="s">
        <v>101</v>
      </c>
      <c r="BI18" s="308" t="s">
        <v>100</v>
      </c>
      <c r="BJ18" s="172" t="s">
        <v>102</v>
      </c>
      <c r="BK18" s="189" t="str">
        <f t="shared" si="6"/>
        <v>AD</v>
      </c>
      <c r="BL18" s="158" t="s">
        <v>101</v>
      </c>
      <c r="BM18" s="148"/>
      <c r="BN18" s="148"/>
      <c r="BO18" s="148"/>
      <c r="BP18" s="148"/>
      <c r="BQ18" s="148"/>
      <c r="BR18" s="159"/>
      <c r="BS18" s="225" t="s">
        <v>105</v>
      </c>
      <c r="BT18" s="225" t="s">
        <v>101</v>
      </c>
      <c r="BU18" s="225" t="s">
        <v>102</v>
      </c>
      <c r="BV18" s="172"/>
      <c r="BW18" s="308" t="s">
        <v>101</v>
      </c>
      <c r="BX18" s="172" t="s">
        <v>102</v>
      </c>
      <c r="BY18" s="225" t="str">
        <f t="shared" si="7"/>
        <v>AD</v>
      </c>
      <c r="BZ18" s="158" t="s">
        <v>102</v>
      </c>
      <c r="CA18" s="230"/>
      <c r="CB18" s="230" t="s">
        <v>101</v>
      </c>
      <c r="CC18" s="230" t="s">
        <v>101</v>
      </c>
      <c r="CD18" s="230"/>
      <c r="CE18" s="308" t="s">
        <v>101</v>
      </c>
      <c r="CF18" s="308" t="s">
        <v>100</v>
      </c>
      <c r="CG18" s="172" t="s">
        <v>102</v>
      </c>
      <c r="CH18" s="173"/>
      <c r="CI18" s="232" t="str">
        <f t="shared" si="8"/>
        <v>AD</v>
      </c>
      <c r="CJ18" s="158" t="s">
        <v>101</v>
      </c>
      <c r="CK18" s="137"/>
      <c r="CL18" s="138"/>
      <c r="CM18" s="137"/>
      <c r="CN18" s="138"/>
      <c r="CO18" s="137"/>
      <c r="CP18" s="138"/>
      <c r="CQ18" s="137"/>
      <c r="CR18" s="138"/>
      <c r="CS18" s="139"/>
      <c r="CT18" s="139"/>
      <c r="CU18" s="139"/>
      <c r="CV18" s="139"/>
      <c r="CW18" s="237" t="s">
        <v>100</v>
      </c>
      <c r="CX18" s="172" t="s">
        <v>105</v>
      </c>
      <c r="CY18" s="172" t="s">
        <v>102</v>
      </c>
      <c r="CZ18" s="172" t="s">
        <v>102</v>
      </c>
      <c r="DA18" s="137" t="e">
        <f t="shared" si="9"/>
        <v>#VALUE!</v>
      </c>
    </row>
    <row r="19" s="307" customFormat="1" ht="15" spans="1:105">
      <c r="A19" s="137">
        <v>13</v>
      </c>
      <c r="B19" s="138" t="str">
        <f>'RELACION ESTUDIANTES - 2022'!B18</f>
        <v>VELARDE GONZALEZ MARCOS MIGUEL</v>
      </c>
      <c r="C19" s="139"/>
      <c r="D19" s="139" t="s">
        <v>100</v>
      </c>
      <c r="E19" s="139" t="s">
        <v>102</v>
      </c>
      <c r="F19" s="139" t="s">
        <v>101</v>
      </c>
      <c r="G19" s="139"/>
      <c r="H19" s="139" t="str">
        <f t="shared" si="0"/>
        <v>AD</v>
      </c>
      <c r="I19" s="158" t="s">
        <v>101</v>
      </c>
      <c r="J19" s="159"/>
      <c r="K19" s="159" t="s">
        <v>101</v>
      </c>
      <c r="L19" s="159" t="s">
        <v>102</v>
      </c>
      <c r="M19" s="159" t="s">
        <v>102</v>
      </c>
      <c r="N19" s="159"/>
      <c r="O19" s="159"/>
      <c r="P19" s="159"/>
      <c r="Q19" s="159" t="str">
        <f t="shared" si="1"/>
        <v>AD</v>
      </c>
      <c r="R19" s="158" t="s">
        <v>102</v>
      </c>
      <c r="S19" s="170"/>
      <c r="T19" s="171" t="s">
        <v>100</v>
      </c>
      <c r="U19" s="171" t="s">
        <v>100</v>
      </c>
      <c r="V19" s="171" t="s">
        <v>102</v>
      </c>
      <c r="W19" s="308" t="s">
        <v>105</v>
      </c>
      <c r="X19" s="308"/>
      <c r="Y19" s="170" t="str">
        <f t="shared" si="2"/>
        <v>AD</v>
      </c>
      <c r="Z19" s="158" t="s">
        <v>102</v>
      </c>
      <c r="AA19" s="190"/>
      <c r="AB19" s="190"/>
      <c r="AC19" s="190"/>
      <c r="AD19" s="190"/>
      <c r="AE19" s="190"/>
      <c r="AF19" s="148"/>
      <c r="AG19" s="148" t="s">
        <v>100</v>
      </c>
      <c r="AH19" s="148" t="s">
        <v>101</v>
      </c>
      <c r="AI19" s="148" t="s">
        <v>105</v>
      </c>
      <c r="AJ19" s="172"/>
      <c r="AK19" s="308" t="s">
        <v>101</v>
      </c>
      <c r="AL19" s="148" t="str">
        <f t="shared" si="3"/>
        <v>AD</v>
      </c>
      <c r="AM19" s="158" t="s">
        <v>102</v>
      </c>
      <c r="AN19" s="159"/>
      <c r="AO19" s="159"/>
      <c r="AP19" s="159" t="s">
        <v>102</v>
      </c>
      <c r="AQ19" s="159" t="s">
        <v>105</v>
      </c>
      <c r="AR19" s="173"/>
      <c r="AS19" s="172" t="s">
        <v>102</v>
      </c>
      <c r="AT19" s="159" t="str">
        <f t="shared" si="4"/>
        <v>AD</v>
      </c>
      <c r="AU19" s="158" t="s">
        <v>102</v>
      </c>
      <c r="AV19" s="171"/>
      <c r="AW19" s="171" t="s">
        <v>102</v>
      </c>
      <c r="AX19" s="171" t="s">
        <v>101</v>
      </c>
      <c r="AY19" s="171" t="s">
        <v>102</v>
      </c>
      <c r="AZ19" s="172" t="s">
        <v>102</v>
      </c>
      <c r="BA19" s="173"/>
      <c r="BB19" s="172"/>
      <c r="BC19" s="171" t="str">
        <f t="shared" si="5"/>
        <v>AD</v>
      </c>
      <c r="BD19" s="158" t="s">
        <v>102</v>
      </c>
      <c r="BE19" s="190"/>
      <c r="BF19" s="190" t="s">
        <v>101</v>
      </c>
      <c r="BG19" s="190" t="s">
        <v>101</v>
      </c>
      <c r="BH19" s="189" t="s">
        <v>101</v>
      </c>
      <c r="BI19" s="308" t="s">
        <v>101</v>
      </c>
      <c r="BJ19" s="172" t="s">
        <v>102</v>
      </c>
      <c r="BK19" s="189" t="str">
        <f t="shared" si="6"/>
        <v>AD</v>
      </c>
      <c r="BL19" s="158" t="s">
        <v>101</v>
      </c>
      <c r="BM19" s="148"/>
      <c r="BN19" s="148"/>
      <c r="BO19" s="148"/>
      <c r="BP19" s="148"/>
      <c r="BQ19" s="148"/>
      <c r="BR19" s="159"/>
      <c r="BS19" s="225" t="s">
        <v>101</v>
      </c>
      <c r="BT19" s="225" t="s">
        <v>102</v>
      </c>
      <c r="BU19" s="225" t="s">
        <v>102</v>
      </c>
      <c r="BV19" s="172"/>
      <c r="BW19" s="308" t="s">
        <v>105</v>
      </c>
      <c r="BX19" s="172" t="s">
        <v>102</v>
      </c>
      <c r="BY19" s="225" t="str">
        <f t="shared" si="7"/>
        <v>AD</v>
      </c>
      <c r="BZ19" s="158" t="s">
        <v>102</v>
      </c>
      <c r="CA19" s="230"/>
      <c r="CB19" s="230" t="s">
        <v>102</v>
      </c>
      <c r="CC19" s="230" t="s">
        <v>101</v>
      </c>
      <c r="CD19" s="230"/>
      <c r="CE19" s="308" t="s">
        <v>105</v>
      </c>
      <c r="CF19" s="308" t="s">
        <v>101</v>
      </c>
      <c r="CG19" s="172" t="s">
        <v>102</v>
      </c>
      <c r="CH19" s="173"/>
      <c r="CI19" s="232" t="str">
        <f t="shared" si="8"/>
        <v>AD</v>
      </c>
      <c r="CJ19" s="158" t="s">
        <v>102</v>
      </c>
      <c r="CK19" s="137"/>
      <c r="CL19" s="138"/>
      <c r="CM19" s="137"/>
      <c r="CN19" s="138"/>
      <c r="CO19" s="137"/>
      <c r="CP19" s="138"/>
      <c r="CQ19" s="137"/>
      <c r="CR19" s="138"/>
      <c r="CS19" s="139"/>
      <c r="CT19" s="139"/>
      <c r="CU19" s="139"/>
      <c r="CV19" s="139"/>
      <c r="CW19" s="237" t="s">
        <v>100</v>
      </c>
      <c r="CX19" s="172" t="s">
        <v>105</v>
      </c>
      <c r="CY19" s="172" t="s">
        <v>100</v>
      </c>
      <c r="CZ19" s="172" t="s">
        <v>102</v>
      </c>
      <c r="DA19" s="137" t="e">
        <f t="shared" si="9"/>
        <v>#VALUE!</v>
      </c>
    </row>
    <row r="20" ht="15" spans="1:105">
      <c r="A20" s="137">
        <v>14</v>
      </c>
      <c r="B20" s="138" t="str">
        <f>'RELACION ESTUDIANTES - 2022'!B19</f>
        <v>YARCURI CRISOSTOMO JUAN DIEGO</v>
      </c>
      <c r="C20" s="139"/>
      <c r="D20" s="139" t="s">
        <v>102</v>
      </c>
      <c r="E20" s="139" t="s">
        <v>101</v>
      </c>
      <c r="F20" s="139" t="s">
        <v>101</v>
      </c>
      <c r="G20" s="139"/>
      <c r="H20" s="139" t="str">
        <f t="shared" si="0"/>
        <v>AD</v>
      </c>
      <c r="I20" s="158" t="s">
        <v>101</v>
      </c>
      <c r="J20" s="159"/>
      <c r="K20" s="159" t="s">
        <v>102</v>
      </c>
      <c r="L20" s="159" t="s">
        <v>102</v>
      </c>
      <c r="M20" s="159" t="s">
        <v>102</v>
      </c>
      <c r="N20" s="159"/>
      <c r="O20" s="159"/>
      <c r="P20" s="159"/>
      <c r="Q20" s="159" t="str">
        <f t="shared" si="1"/>
        <v>AD</v>
      </c>
      <c r="R20" s="158" t="s">
        <v>102</v>
      </c>
      <c r="S20" s="170"/>
      <c r="T20" s="171" t="s">
        <v>101</v>
      </c>
      <c r="U20" s="171" t="s">
        <v>100</v>
      </c>
      <c r="V20" s="171" t="s">
        <v>100</v>
      </c>
      <c r="W20" s="308" t="s">
        <v>102</v>
      </c>
      <c r="X20" s="308"/>
      <c r="Y20" s="170" t="str">
        <f t="shared" si="2"/>
        <v>AD</v>
      </c>
      <c r="Z20" s="158" t="s">
        <v>101</v>
      </c>
      <c r="AA20" s="190"/>
      <c r="AB20" s="190"/>
      <c r="AC20" s="190"/>
      <c r="AD20" s="190"/>
      <c r="AE20" s="190"/>
      <c r="AF20" s="148"/>
      <c r="AG20" s="148" t="s">
        <v>100</v>
      </c>
      <c r="AH20" s="148" t="s">
        <v>100</v>
      </c>
      <c r="AI20" s="148" t="s">
        <v>102</v>
      </c>
      <c r="AJ20" s="172"/>
      <c r="AK20" s="308" t="s">
        <v>101</v>
      </c>
      <c r="AL20" s="148" t="str">
        <f t="shared" si="3"/>
        <v>AD</v>
      </c>
      <c r="AM20" s="158" t="s">
        <v>101</v>
      </c>
      <c r="AN20" s="159"/>
      <c r="AO20" s="159"/>
      <c r="AP20" s="159" t="s">
        <v>102</v>
      </c>
      <c r="AQ20" s="159" t="s">
        <v>100</v>
      </c>
      <c r="AR20" s="173"/>
      <c r="AS20" s="172" t="s">
        <v>102</v>
      </c>
      <c r="AT20" s="159" t="str">
        <f t="shared" si="4"/>
        <v>AD</v>
      </c>
      <c r="AU20" s="158" t="s">
        <v>102</v>
      </c>
      <c r="AV20" s="171"/>
      <c r="AW20" s="171" t="s">
        <v>102</v>
      </c>
      <c r="AX20" s="171" t="s">
        <v>105</v>
      </c>
      <c r="AY20" s="171" t="s">
        <v>102</v>
      </c>
      <c r="AZ20" s="172" t="s">
        <v>102</v>
      </c>
      <c r="BA20" s="173"/>
      <c r="BB20" s="172"/>
      <c r="BC20" s="171" t="str">
        <f t="shared" si="5"/>
        <v>AD</v>
      </c>
      <c r="BD20" s="158" t="s">
        <v>102</v>
      </c>
      <c r="BE20" s="190"/>
      <c r="BF20" s="190" t="s">
        <v>101</v>
      </c>
      <c r="BG20" s="190" t="s">
        <v>100</v>
      </c>
      <c r="BH20" s="189" t="s">
        <v>102</v>
      </c>
      <c r="BI20" s="308" t="s">
        <v>101</v>
      </c>
      <c r="BJ20" s="172" t="s">
        <v>102</v>
      </c>
      <c r="BK20" s="189" t="str">
        <f t="shared" si="6"/>
        <v>AD</v>
      </c>
      <c r="BL20" s="158" t="s">
        <v>101</v>
      </c>
      <c r="BM20" s="148"/>
      <c r="BN20" s="148"/>
      <c r="BO20" s="148"/>
      <c r="BP20" s="148"/>
      <c r="BQ20" s="148"/>
      <c r="BR20" s="159"/>
      <c r="BS20" s="225" t="s">
        <v>101</v>
      </c>
      <c r="BT20" s="225" t="s">
        <v>100</v>
      </c>
      <c r="BU20" s="225" t="s">
        <v>101</v>
      </c>
      <c r="BV20" s="172"/>
      <c r="BW20" s="308" t="s">
        <v>102</v>
      </c>
      <c r="BX20" s="172" t="s">
        <v>102</v>
      </c>
      <c r="BY20" s="225" t="str">
        <f t="shared" si="7"/>
        <v>AD</v>
      </c>
      <c r="BZ20" s="158" t="s">
        <v>101</v>
      </c>
      <c r="CA20" s="230"/>
      <c r="CB20" s="230" t="s">
        <v>102</v>
      </c>
      <c r="CC20" s="230" t="s">
        <v>101</v>
      </c>
      <c r="CD20" s="230"/>
      <c r="CE20" s="308" t="s">
        <v>102</v>
      </c>
      <c r="CF20" s="308" t="s">
        <v>101</v>
      </c>
      <c r="CG20" s="172" t="s">
        <v>102</v>
      </c>
      <c r="CH20" s="173"/>
      <c r="CI20" s="232" t="str">
        <f t="shared" si="8"/>
        <v>AD</v>
      </c>
      <c r="CJ20" s="158" t="s">
        <v>101</v>
      </c>
      <c r="CK20" s="189"/>
      <c r="CL20" s="189"/>
      <c r="CM20" s="189"/>
      <c r="CN20" s="189"/>
      <c r="CO20" s="148"/>
      <c r="CP20" s="148"/>
      <c r="CQ20" s="148"/>
      <c r="CR20" s="148"/>
      <c r="CS20" s="139"/>
      <c r="CT20" s="139"/>
      <c r="CU20" s="139"/>
      <c r="CV20" s="139"/>
      <c r="CW20" s="237" t="s">
        <v>100</v>
      </c>
      <c r="CX20" s="172" t="s">
        <v>105</v>
      </c>
      <c r="CY20" s="172" t="s">
        <v>100</v>
      </c>
      <c r="CZ20" s="172" t="s">
        <v>102</v>
      </c>
      <c r="DA20" t="e">
        <f t="shared" si="9"/>
        <v>#VALUE!</v>
      </c>
    </row>
    <row r="21" s="121" customFormat="1" ht="15" spans="1:105">
      <c r="A21" s="141">
        <v>15</v>
      </c>
      <c r="B21" s="142"/>
      <c r="C21" s="143"/>
      <c r="D21" s="139"/>
      <c r="E21" s="143"/>
      <c r="F21" s="143"/>
      <c r="G21" s="143"/>
      <c r="H21" s="143"/>
      <c r="I21" s="143"/>
      <c r="J21" s="161"/>
      <c r="K21" s="161"/>
      <c r="L21" s="161"/>
      <c r="M21" s="161"/>
      <c r="N21" s="161"/>
      <c r="O21" s="161"/>
      <c r="P21" s="161"/>
      <c r="Q21" s="161"/>
      <c r="R21" s="143"/>
      <c r="S21" s="174"/>
      <c r="T21" s="175"/>
      <c r="U21" s="175"/>
      <c r="V21" s="174"/>
      <c r="W21" s="216"/>
      <c r="X21" s="216"/>
      <c r="Y21" s="174">
        <f t="shared" si="2"/>
        <v>0</v>
      </c>
      <c r="Z21" s="143"/>
      <c r="AA21" s="192"/>
      <c r="AB21" s="192"/>
      <c r="AC21" s="192"/>
      <c r="AD21" s="192"/>
      <c r="AE21" s="192"/>
      <c r="AF21" s="143"/>
      <c r="AG21" s="204"/>
      <c r="AH21" s="204"/>
      <c r="AI21" s="204"/>
      <c r="AJ21" s="175"/>
      <c r="AK21" s="192"/>
      <c r="AL21" s="204">
        <f t="shared" si="3"/>
        <v>0</v>
      </c>
      <c r="AM21" s="143"/>
      <c r="AN21" s="161"/>
      <c r="AO21" s="161"/>
      <c r="AP21" s="161"/>
      <c r="AQ21" s="161"/>
      <c r="AR21" s="192"/>
      <c r="AS21" s="175"/>
      <c r="AT21" s="161">
        <f t="shared" si="4"/>
        <v>0</v>
      </c>
      <c r="AU21" s="143"/>
      <c r="AV21" s="175"/>
      <c r="AW21" s="175"/>
      <c r="AX21" s="175"/>
      <c r="AY21" s="175"/>
      <c r="AZ21" s="175"/>
      <c r="BA21" s="192"/>
      <c r="BB21" s="175"/>
      <c r="BC21" s="175">
        <f t="shared" si="5"/>
        <v>0</v>
      </c>
      <c r="BD21" s="143"/>
      <c r="BE21" s="192"/>
      <c r="BF21" s="192"/>
      <c r="BG21" s="192"/>
      <c r="BH21" s="192"/>
      <c r="BI21" s="192"/>
      <c r="BJ21" s="175"/>
      <c r="BK21" s="191">
        <f t="shared" si="6"/>
        <v>0</v>
      </c>
      <c r="BL21" s="143"/>
      <c r="BM21" s="204"/>
      <c r="BN21" s="204"/>
      <c r="BO21" s="204"/>
      <c r="BP21" s="204"/>
      <c r="BQ21" s="204"/>
      <c r="BR21" s="161"/>
      <c r="BS21" s="161"/>
      <c r="BT21" s="143"/>
      <c r="BU21" s="161"/>
      <c r="BV21" s="175"/>
      <c r="BW21" s="192"/>
      <c r="BX21" s="216"/>
      <c r="BY21" s="143">
        <f t="shared" si="7"/>
        <v>0</v>
      </c>
      <c r="BZ21" s="143"/>
      <c r="CA21" s="216"/>
      <c r="CB21" s="216"/>
      <c r="CC21" s="216"/>
      <c r="CD21" s="216"/>
      <c r="CE21" s="216"/>
      <c r="CF21" s="216"/>
      <c r="CG21" s="175"/>
      <c r="CH21" s="192"/>
      <c r="CI21" s="233">
        <f t="shared" si="8"/>
        <v>0</v>
      </c>
      <c r="CJ21" s="143"/>
      <c r="CK21" s="191"/>
      <c r="CL21" s="191"/>
      <c r="CM21" s="191"/>
      <c r="CN21" s="191"/>
      <c r="CO21" s="204"/>
      <c r="CP21" s="204"/>
      <c r="CQ21" s="204"/>
      <c r="CR21" s="204"/>
      <c r="CS21" s="161"/>
      <c r="CT21" s="161"/>
      <c r="CU21" s="161"/>
      <c r="CV21" s="161"/>
      <c r="CW21" s="239">
        <v>0</v>
      </c>
      <c r="CX21" s="239"/>
      <c r="CY21" s="239"/>
      <c r="CZ21" s="121">
        <f t="shared" ref="CZ7:CZ36" si="10">COUNTIF(AA21:CT21,"OK")</f>
        <v>0</v>
      </c>
      <c r="DA21" s="121">
        <f t="shared" si="9"/>
        <v>4</v>
      </c>
    </row>
    <row r="22" ht="15" spans="1:104">
      <c r="A22" s="137">
        <v>16</v>
      </c>
      <c r="B22" s="138"/>
      <c r="C22" s="139"/>
      <c r="D22" s="139"/>
      <c r="E22" s="139"/>
      <c r="F22" s="139"/>
      <c r="G22" s="139"/>
      <c r="H22" s="139"/>
      <c r="I22" s="158"/>
      <c r="J22" s="159"/>
      <c r="K22" s="159"/>
      <c r="L22" s="159"/>
      <c r="M22" s="159"/>
      <c r="N22" s="159"/>
      <c r="O22" s="159"/>
      <c r="P22" s="159"/>
      <c r="Q22" s="159"/>
      <c r="R22" s="158"/>
      <c r="S22" s="170"/>
      <c r="T22" s="171"/>
      <c r="U22" s="171"/>
      <c r="V22" s="170"/>
      <c r="W22" s="308"/>
      <c r="X22" s="308"/>
      <c r="Y22" s="170">
        <f t="shared" si="2"/>
        <v>0</v>
      </c>
      <c r="Z22" s="158"/>
      <c r="AA22" s="189"/>
      <c r="AB22" s="190"/>
      <c r="AC22" s="190"/>
      <c r="AD22" s="190"/>
      <c r="AE22" s="189"/>
      <c r="AF22" s="139"/>
      <c r="AG22" s="311"/>
      <c r="AH22" s="148"/>
      <c r="AI22" s="139"/>
      <c r="AJ22" s="172"/>
      <c r="AK22" s="173"/>
      <c r="AL22" s="148">
        <f t="shared" si="3"/>
        <v>0</v>
      </c>
      <c r="AM22" s="158"/>
      <c r="AN22" s="159"/>
      <c r="AO22" s="159"/>
      <c r="AP22" s="159"/>
      <c r="AQ22" s="159"/>
      <c r="AR22" s="173"/>
      <c r="AS22" s="172"/>
      <c r="AT22" s="159">
        <f t="shared" si="4"/>
        <v>0</v>
      </c>
      <c r="AU22" s="158"/>
      <c r="AV22" s="171"/>
      <c r="AW22" s="171"/>
      <c r="AX22" s="171"/>
      <c r="AY22" s="171"/>
      <c r="AZ22" s="171"/>
      <c r="BA22" s="173"/>
      <c r="BB22" s="172"/>
      <c r="BC22" s="171">
        <f t="shared" si="5"/>
        <v>0</v>
      </c>
      <c r="BD22" s="158"/>
      <c r="BE22" s="190"/>
      <c r="BF22" s="190"/>
      <c r="BG22" s="190"/>
      <c r="BH22" s="190"/>
      <c r="BI22" s="173"/>
      <c r="BJ22" s="172"/>
      <c r="BK22" s="189">
        <f t="shared" si="6"/>
        <v>0</v>
      </c>
      <c r="BL22" s="158"/>
      <c r="BM22" s="148"/>
      <c r="BN22" s="148"/>
      <c r="BO22" s="148"/>
      <c r="BP22" s="148"/>
      <c r="BQ22" s="148"/>
      <c r="BR22" s="159"/>
      <c r="BS22" s="225"/>
      <c r="BT22" s="225"/>
      <c r="BU22" s="159"/>
      <c r="BV22" s="172"/>
      <c r="BW22" s="173"/>
      <c r="BX22" s="264"/>
      <c r="BY22" s="225">
        <f t="shared" si="7"/>
        <v>0</v>
      </c>
      <c r="BZ22" s="158"/>
      <c r="CA22" s="171"/>
      <c r="CB22" s="230"/>
      <c r="CC22" s="230"/>
      <c r="CD22" s="230"/>
      <c r="CE22" s="308"/>
      <c r="CF22" s="308"/>
      <c r="CG22" s="172"/>
      <c r="CH22" s="173"/>
      <c r="CI22" s="232">
        <f t="shared" si="8"/>
        <v>0</v>
      </c>
      <c r="CJ22" s="158"/>
      <c r="CK22" s="277"/>
      <c r="CL22" s="277"/>
      <c r="CM22" s="277"/>
      <c r="CN22" s="277"/>
      <c r="CO22" s="227"/>
      <c r="CP22" s="227"/>
      <c r="CQ22" s="227"/>
      <c r="CR22" s="227"/>
      <c r="CS22" s="139"/>
      <c r="CT22" s="139"/>
      <c r="CU22" s="139"/>
      <c r="CV22" s="139"/>
      <c r="CW22" s="237">
        <v>0</v>
      </c>
      <c r="CX22" s="237"/>
      <c r="CY22" s="237"/>
      <c r="CZ22">
        <f t="shared" si="10"/>
        <v>0</v>
      </c>
    </row>
    <row r="23" ht="15" spans="1:104">
      <c r="A23" s="137">
        <v>17</v>
      </c>
      <c r="B23" s="138"/>
      <c r="C23" s="139"/>
      <c r="D23" s="139"/>
      <c r="E23" s="139"/>
      <c r="F23" s="139"/>
      <c r="G23" s="139"/>
      <c r="H23" s="139"/>
      <c r="I23" s="158"/>
      <c r="J23" s="159"/>
      <c r="K23" s="159"/>
      <c r="L23" s="159"/>
      <c r="M23" s="159"/>
      <c r="N23" s="159"/>
      <c r="O23" s="159"/>
      <c r="P23" s="159"/>
      <c r="Q23" s="159"/>
      <c r="R23" s="158"/>
      <c r="S23" s="170"/>
      <c r="T23" s="171"/>
      <c r="U23" s="171"/>
      <c r="V23" s="170"/>
      <c r="W23" s="308"/>
      <c r="X23" s="308"/>
      <c r="Y23" s="170">
        <f t="shared" si="2"/>
        <v>0</v>
      </c>
      <c r="Z23" s="158"/>
      <c r="AA23" s="189"/>
      <c r="AB23" s="189"/>
      <c r="AC23" s="189"/>
      <c r="AD23" s="189"/>
      <c r="AE23" s="189"/>
      <c r="AF23" s="139"/>
      <c r="AG23" s="148"/>
      <c r="AH23" s="148"/>
      <c r="AI23" s="139"/>
      <c r="AJ23" s="172"/>
      <c r="AK23" s="173"/>
      <c r="AL23" s="148">
        <f t="shared" si="3"/>
        <v>0</v>
      </c>
      <c r="AM23" s="158"/>
      <c r="AN23" s="159"/>
      <c r="AO23" s="159"/>
      <c r="AP23" s="159"/>
      <c r="AQ23" s="159"/>
      <c r="AR23" s="173"/>
      <c r="AS23" s="172"/>
      <c r="AT23" s="159">
        <f t="shared" si="4"/>
        <v>0</v>
      </c>
      <c r="AU23" s="158"/>
      <c r="AV23" s="171"/>
      <c r="AW23" s="171"/>
      <c r="AX23" s="171"/>
      <c r="AY23" s="171"/>
      <c r="AZ23" s="172" t="s">
        <v>107</v>
      </c>
      <c r="BA23" s="173"/>
      <c r="BB23" s="172"/>
      <c r="BC23" s="171">
        <f t="shared" si="5"/>
        <v>0</v>
      </c>
      <c r="BD23" s="158"/>
      <c r="BE23" s="190"/>
      <c r="BF23" s="190"/>
      <c r="BG23" s="190"/>
      <c r="BH23" s="190"/>
      <c r="BI23" s="173"/>
      <c r="BJ23" s="172"/>
      <c r="BK23" s="189">
        <f t="shared" si="6"/>
        <v>0</v>
      </c>
      <c r="BL23" s="158"/>
      <c r="BM23" s="148"/>
      <c r="BN23" s="148"/>
      <c r="BO23" s="148"/>
      <c r="BP23" s="148"/>
      <c r="BQ23" s="148"/>
      <c r="BR23" s="159"/>
      <c r="BS23" s="225"/>
      <c r="BT23" s="225"/>
      <c r="BU23" s="159"/>
      <c r="BV23" s="172"/>
      <c r="BW23" s="173"/>
      <c r="BX23" s="264"/>
      <c r="BY23" s="225">
        <f t="shared" si="7"/>
        <v>0</v>
      </c>
      <c r="BZ23" s="158"/>
      <c r="CA23" s="171"/>
      <c r="CB23" s="230"/>
      <c r="CC23" s="230"/>
      <c r="CD23" s="230"/>
      <c r="CE23" s="308"/>
      <c r="CF23" s="308"/>
      <c r="CG23" s="172"/>
      <c r="CH23" s="173"/>
      <c r="CI23" s="232">
        <f t="shared" si="8"/>
        <v>0</v>
      </c>
      <c r="CJ23" s="158"/>
      <c r="CK23" s="277"/>
      <c r="CL23" s="277"/>
      <c r="CM23" s="277"/>
      <c r="CN23" s="277"/>
      <c r="CO23" s="227"/>
      <c r="CP23" s="227"/>
      <c r="CQ23" s="227"/>
      <c r="CR23" s="227"/>
      <c r="CS23" s="139"/>
      <c r="CT23" s="139"/>
      <c r="CU23" s="139"/>
      <c r="CV23" s="139"/>
      <c r="CW23" s="237">
        <v>0</v>
      </c>
      <c r="CX23" s="237"/>
      <c r="CY23" s="237"/>
      <c r="CZ23">
        <f t="shared" si="10"/>
        <v>0</v>
      </c>
    </row>
    <row r="24" ht="15" spans="1:105">
      <c r="A24" s="137">
        <v>18</v>
      </c>
      <c r="B24" s="138"/>
      <c r="C24" s="139"/>
      <c r="D24" s="139"/>
      <c r="E24" s="139"/>
      <c r="F24" s="139"/>
      <c r="G24" s="139"/>
      <c r="H24" s="139">
        <f t="shared" si="0"/>
        <v>0</v>
      </c>
      <c r="I24" s="158"/>
      <c r="J24" s="159"/>
      <c r="K24" s="159"/>
      <c r="L24" s="159"/>
      <c r="M24" s="159"/>
      <c r="N24" s="159"/>
      <c r="O24" s="159"/>
      <c r="P24" s="159"/>
      <c r="Q24" s="159">
        <f t="shared" si="1"/>
        <v>0</v>
      </c>
      <c r="R24" s="158"/>
      <c r="S24" s="170"/>
      <c r="T24" s="171"/>
      <c r="U24" s="171"/>
      <c r="V24" s="171"/>
      <c r="W24" s="308"/>
      <c r="X24" s="308"/>
      <c r="Y24" s="170">
        <f t="shared" si="2"/>
        <v>0</v>
      </c>
      <c r="Z24" s="158"/>
      <c r="AA24" s="189"/>
      <c r="AB24" s="189"/>
      <c r="AC24" s="189"/>
      <c r="AD24" s="189"/>
      <c r="AE24" s="189"/>
      <c r="AF24" s="139"/>
      <c r="AG24" s="148"/>
      <c r="AH24" s="148"/>
      <c r="AI24" s="139"/>
      <c r="AJ24" s="172"/>
      <c r="AK24" s="173"/>
      <c r="AL24" s="148">
        <f t="shared" si="3"/>
        <v>0</v>
      </c>
      <c r="AM24" s="158"/>
      <c r="AN24" s="159"/>
      <c r="AO24" s="159"/>
      <c r="AP24" s="159"/>
      <c r="AQ24" s="159"/>
      <c r="AR24" s="173"/>
      <c r="AS24" s="172"/>
      <c r="AT24" s="159">
        <f t="shared" si="4"/>
        <v>0</v>
      </c>
      <c r="AU24" s="158"/>
      <c r="AV24" s="171"/>
      <c r="AW24" s="171"/>
      <c r="AX24" s="171"/>
      <c r="AY24" s="171"/>
      <c r="AZ24" s="171"/>
      <c r="BA24" s="173"/>
      <c r="BB24" s="172"/>
      <c r="BC24" s="171">
        <f t="shared" si="5"/>
        <v>0</v>
      </c>
      <c r="BD24" s="158"/>
      <c r="BE24" s="190"/>
      <c r="BF24" s="190"/>
      <c r="BG24" s="190"/>
      <c r="BH24" s="190"/>
      <c r="BI24" s="173"/>
      <c r="BJ24" s="172"/>
      <c r="BK24" s="189">
        <f t="shared" si="6"/>
        <v>0</v>
      </c>
      <c r="BL24" s="158"/>
      <c r="BM24" s="148"/>
      <c r="BN24" s="148"/>
      <c r="BO24" s="148"/>
      <c r="BP24" s="148"/>
      <c r="BQ24" s="148"/>
      <c r="BR24" s="159"/>
      <c r="BS24" s="225"/>
      <c r="BT24" s="225"/>
      <c r="BU24" s="225"/>
      <c r="BV24" s="172"/>
      <c r="BW24" s="173"/>
      <c r="BX24" s="264"/>
      <c r="BY24" s="225">
        <f t="shared" si="7"/>
        <v>0</v>
      </c>
      <c r="BZ24" s="158"/>
      <c r="CA24" s="171"/>
      <c r="CB24" s="230"/>
      <c r="CC24" s="230"/>
      <c r="CD24" s="230"/>
      <c r="CE24" s="308"/>
      <c r="CF24" s="308"/>
      <c r="CG24" s="172"/>
      <c r="CH24" s="173"/>
      <c r="CI24" s="232">
        <f t="shared" si="8"/>
        <v>0</v>
      </c>
      <c r="CJ24" s="158"/>
      <c r="CK24" s="189"/>
      <c r="CL24" s="189"/>
      <c r="CM24" s="189"/>
      <c r="CN24" s="189"/>
      <c r="CO24" s="148"/>
      <c r="CP24" s="148"/>
      <c r="CQ24" s="148"/>
      <c r="CR24" s="148"/>
      <c r="CS24" s="139"/>
      <c r="CT24" s="139"/>
      <c r="CU24" s="139"/>
      <c r="CV24" s="139"/>
      <c r="CW24" s="237">
        <v>0</v>
      </c>
      <c r="CX24" s="237"/>
      <c r="CY24" s="237"/>
      <c r="CZ24">
        <f t="shared" si="10"/>
        <v>0</v>
      </c>
      <c r="DA24">
        <f t="shared" ref="DA24:DA35" si="11">CZ24*2+4</f>
        <v>4</v>
      </c>
    </row>
    <row r="25" ht="15" spans="1:105">
      <c r="A25" s="137">
        <v>19</v>
      </c>
      <c r="B25" s="138"/>
      <c r="C25" s="139"/>
      <c r="D25" s="139"/>
      <c r="E25" s="139"/>
      <c r="F25" s="139"/>
      <c r="G25" s="139"/>
      <c r="H25" s="148"/>
      <c r="I25" s="158"/>
      <c r="J25" s="159"/>
      <c r="K25" s="159"/>
      <c r="L25" s="159"/>
      <c r="M25" s="159"/>
      <c r="N25" s="159"/>
      <c r="O25" s="159"/>
      <c r="P25" s="159"/>
      <c r="Q25" s="159"/>
      <c r="R25" s="158"/>
      <c r="S25" s="170"/>
      <c r="T25" s="170"/>
      <c r="U25" s="170"/>
      <c r="V25" s="170"/>
      <c r="W25" s="139"/>
      <c r="X25" s="170"/>
      <c r="Y25" s="170"/>
      <c r="Z25" s="158"/>
      <c r="AA25" s="189"/>
      <c r="AB25" s="190"/>
      <c r="AC25" s="190"/>
      <c r="AD25" s="190"/>
      <c r="AE25" s="189"/>
      <c r="AF25" s="139"/>
      <c r="AG25" s="139"/>
      <c r="AH25" s="139"/>
      <c r="AI25" s="139"/>
      <c r="AJ25" s="139"/>
      <c r="AK25" s="139"/>
      <c r="AL25" s="139"/>
      <c r="AM25" s="158"/>
      <c r="AN25" s="159" t="str">
        <f t="shared" ref="AN25:AN37" si="12">IF(AO25&gt;=18,"AD",IF(AO25&gt;=15,"A",IF(AO25&gt;=11,"B"," ")))</f>
        <v> </v>
      </c>
      <c r="AO25" s="159"/>
      <c r="AP25" s="159"/>
      <c r="AQ25" s="159"/>
      <c r="AR25" s="159"/>
      <c r="AS25" s="159"/>
      <c r="AT25" s="159"/>
      <c r="AU25" s="158"/>
      <c r="AV25" s="171"/>
      <c r="AW25" s="171"/>
      <c r="AX25" s="171"/>
      <c r="AY25" s="171"/>
      <c r="AZ25" s="171"/>
      <c r="BA25" s="171"/>
      <c r="BB25" s="171"/>
      <c r="BC25" s="171"/>
      <c r="BD25" s="158"/>
      <c r="BE25" s="190" t="str">
        <f t="shared" ref="BE25:BE36" si="13">IF(BF25&gt;=18,"AD",IF(BF25&gt;=15,"A",IF(BF25&gt;=11,"B"," ")))</f>
        <v> </v>
      </c>
      <c r="BF25" s="189"/>
      <c r="BG25" s="189"/>
      <c r="BH25" s="189"/>
      <c r="BI25" s="189"/>
      <c r="BJ25" s="189"/>
      <c r="BK25" s="189"/>
      <c r="BL25" s="158"/>
      <c r="BM25" s="148"/>
      <c r="BN25" s="148"/>
      <c r="BO25" s="148"/>
      <c r="BP25" s="148"/>
      <c r="BQ25" s="148"/>
      <c r="BR25" s="159"/>
      <c r="BS25" s="225"/>
      <c r="BT25" s="225"/>
      <c r="BU25" s="225"/>
      <c r="BV25" s="225"/>
      <c r="BW25" s="225"/>
      <c r="BX25" s="225"/>
      <c r="BY25" s="225"/>
      <c r="BZ25" s="158"/>
      <c r="CA25" s="171"/>
      <c r="CB25" s="171"/>
      <c r="CC25" s="171"/>
      <c r="CD25" s="171"/>
      <c r="CE25" s="171"/>
      <c r="CF25" s="171"/>
      <c r="CG25" s="171"/>
      <c r="CH25" s="171"/>
      <c r="CI25" s="171"/>
      <c r="CJ25" s="158"/>
      <c r="CK25" s="189"/>
      <c r="CL25" s="189"/>
      <c r="CM25" s="189"/>
      <c r="CN25" s="189"/>
      <c r="CO25" s="148"/>
      <c r="CP25" s="148"/>
      <c r="CQ25" s="148"/>
      <c r="CR25" s="148"/>
      <c r="CS25" s="139"/>
      <c r="CT25" s="139"/>
      <c r="CU25" s="139"/>
      <c r="CV25" s="139"/>
      <c r="CZ25">
        <f t="shared" si="10"/>
        <v>0</v>
      </c>
      <c r="DA25">
        <f t="shared" si="11"/>
        <v>4</v>
      </c>
    </row>
    <row r="26" ht="15" spans="1:105">
      <c r="A26" s="137">
        <v>20</v>
      </c>
      <c r="B26" s="138"/>
      <c r="C26" s="139"/>
      <c r="D26" s="139"/>
      <c r="E26" s="139"/>
      <c r="F26" s="139"/>
      <c r="G26" s="139"/>
      <c r="H26" s="148"/>
      <c r="I26" s="158"/>
      <c r="J26" s="159"/>
      <c r="K26" s="159"/>
      <c r="L26" s="159"/>
      <c r="M26" s="159"/>
      <c r="N26" s="159"/>
      <c r="O26" s="159"/>
      <c r="P26" s="159"/>
      <c r="Q26" s="159"/>
      <c r="R26" s="158"/>
      <c r="S26" s="170"/>
      <c r="T26" s="170"/>
      <c r="U26" s="170"/>
      <c r="V26" s="170"/>
      <c r="W26" s="148"/>
      <c r="X26" s="170"/>
      <c r="Y26" s="170"/>
      <c r="Z26" s="158"/>
      <c r="AA26" s="195"/>
      <c r="AB26" s="196"/>
      <c r="AC26" s="196"/>
      <c r="AD26" s="196"/>
      <c r="AE26" s="195"/>
      <c r="AF26" s="139"/>
      <c r="AG26" s="148"/>
      <c r="AH26" s="148"/>
      <c r="AI26" s="148"/>
      <c r="AJ26" s="148"/>
      <c r="AK26" s="148"/>
      <c r="AL26" s="148"/>
      <c r="AM26" s="158"/>
      <c r="AN26" s="159" t="str">
        <f t="shared" si="12"/>
        <v> </v>
      </c>
      <c r="AO26" s="159"/>
      <c r="AP26" s="159"/>
      <c r="AQ26" s="159"/>
      <c r="AR26" s="159"/>
      <c r="AS26" s="159"/>
      <c r="AT26" s="159"/>
      <c r="AU26" s="158" t="e">
        <f t="shared" ref="AU26:AU37" si="14">ROUND(AVERAGE(AO26:AT26),0)</f>
        <v>#DIV/0!</v>
      </c>
      <c r="AV26" s="171" t="str">
        <f t="shared" ref="AV26:AV37" si="15">IF(AW26&gt;=18,"AD",IF(AW26&gt;=15,"A",IF(AW26&gt;=11,"B"," ")))</f>
        <v> </v>
      </c>
      <c r="AW26" s="170"/>
      <c r="AX26" s="170"/>
      <c r="AY26" s="170"/>
      <c r="AZ26" s="170"/>
      <c r="BA26" s="170"/>
      <c r="BB26" s="170"/>
      <c r="BC26" s="170"/>
      <c r="BD26" s="158" t="e">
        <f t="shared" ref="BD26:BD36" si="16">ROUND(AVERAGE(AW26:BC26),0)</f>
        <v>#DIV/0!</v>
      </c>
      <c r="BE26" s="190" t="str">
        <f t="shared" si="13"/>
        <v> </v>
      </c>
      <c r="BF26" s="189"/>
      <c r="BG26" s="189"/>
      <c r="BH26" s="189"/>
      <c r="BI26" s="189"/>
      <c r="BJ26" s="189"/>
      <c r="BK26" s="189"/>
      <c r="BL26" s="158"/>
      <c r="BM26" s="148"/>
      <c r="BN26" s="148"/>
      <c r="BO26" s="148"/>
      <c r="BP26" s="148"/>
      <c r="BQ26" s="211"/>
      <c r="BR26" s="159" t="str">
        <f t="shared" ref="BR26:BR37" si="17">IF(BS26&gt;=18,"AD",IF(BS26&gt;=15,"A",IF(BS26&gt;=11,"B"," ")))</f>
        <v> </v>
      </c>
      <c r="BS26" s="225"/>
      <c r="BT26" s="225"/>
      <c r="BU26" s="225"/>
      <c r="BV26" s="225"/>
      <c r="BW26" s="225"/>
      <c r="BX26" s="225"/>
      <c r="BY26" s="225"/>
      <c r="BZ26" s="158"/>
      <c r="CA26" s="171"/>
      <c r="CB26" s="171"/>
      <c r="CC26" s="171"/>
      <c r="CD26" s="171"/>
      <c r="CE26" s="171"/>
      <c r="CF26" s="171"/>
      <c r="CG26" s="171"/>
      <c r="CH26" s="171"/>
      <c r="CI26" s="171"/>
      <c r="CJ26" s="158"/>
      <c r="CK26" s="195"/>
      <c r="CL26" s="195"/>
      <c r="CM26" s="195"/>
      <c r="CN26" s="195"/>
      <c r="CO26" s="148"/>
      <c r="CP26" s="148"/>
      <c r="CQ26" s="148"/>
      <c r="CR26" s="211"/>
      <c r="CS26" s="139"/>
      <c r="CT26" s="139"/>
      <c r="CU26" s="139"/>
      <c r="CV26" s="139"/>
      <c r="CZ26">
        <f t="shared" si="10"/>
        <v>0</v>
      </c>
      <c r="DA26">
        <f t="shared" si="11"/>
        <v>4</v>
      </c>
    </row>
    <row r="27" ht="15" spans="1:105">
      <c r="A27" s="137">
        <v>21</v>
      </c>
      <c r="B27" s="138"/>
      <c r="C27" s="148"/>
      <c r="D27" s="139"/>
      <c r="E27" s="139"/>
      <c r="F27" s="139"/>
      <c r="G27" s="148"/>
      <c r="H27" s="148"/>
      <c r="I27" s="158"/>
      <c r="J27" s="159"/>
      <c r="K27" s="159"/>
      <c r="L27" s="159"/>
      <c r="M27" s="159"/>
      <c r="N27" s="159"/>
      <c r="O27" s="159"/>
      <c r="P27" s="159"/>
      <c r="Q27" s="159"/>
      <c r="R27" s="158"/>
      <c r="S27" s="170"/>
      <c r="T27" s="170"/>
      <c r="U27" s="170"/>
      <c r="V27" s="170"/>
      <c r="W27" s="148"/>
      <c r="X27" s="170"/>
      <c r="Y27" s="170"/>
      <c r="Z27" s="158"/>
      <c r="AA27" s="189"/>
      <c r="AB27" s="190"/>
      <c r="AC27" s="190"/>
      <c r="AD27" s="190"/>
      <c r="AE27" s="189"/>
      <c r="AF27" s="139"/>
      <c r="AG27" s="148"/>
      <c r="AH27" s="148"/>
      <c r="AI27" s="148"/>
      <c r="AJ27" s="148"/>
      <c r="AK27" s="148"/>
      <c r="AL27" s="148"/>
      <c r="AM27" s="158"/>
      <c r="AN27" s="159" t="str">
        <f t="shared" si="12"/>
        <v> </v>
      </c>
      <c r="AO27" s="159"/>
      <c r="AP27" s="159"/>
      <c r="AQ27" s="159"/>
      <c r="AR27" s="159"/>
      <c r="AS27" s="159"/>
      <c r="AT27" s="159"/>
      <c r="AU27" s="158" t="e">
        <f t="shared" si="14"/>
        <v>#DIV/0!</v>
      </c>
      <c r="AV27" s="171" t="str">
        <f t="shared" si="15"/>
        <v> </v>
      </c>
      <c r="AW27" s="170"/>
      <c r="AX27" s="170"/>
      <c r="AY27" s="170"/>
      <c r="AZ27" s="170"/>
      <c r="BA27" s="170"/>
      <c r="BB27" s="170"/>
      <c r="BC27" s="170"/>
      <c r="BD27" s="158" t="e">
        <f t="shared" si="16"/>
        <v>#DIV/0!</v>
      </c>
      <c r="BE27" s="190" t="str">
        <f t="shared" si="13"/>
        <v> </v>
      </c>
      <c r="BF27" s="189"/>
      <c r="BG27" s="189"/>
      <c r="BH27" s="189"/>
      <c r="BI27" s="189"/>
      <c r="BJ27" s="189"/>
      <c r="BK27" s="189"/>
      <c r="BL27" s="158"/>
      <c r="BM27" s="148"/>
      <c r="BN27" s="148"/>
      <c r="BO27" s="148"/>
      <c r="BP27" s="148"/>
      <c r="BQ27" s="211"/>
      <c r="BR27" s="159" t="str">
        <f t="shared" si="17"/>
        <v> </v>
      </c>
      <c r="BS27" s="225"/>
      <c r="BT27" s="225"/>
      <c r="BU27" s="225"/>
      <c r="BV27" s="225"/>
      <c r="BW27" s="225"/>
      <c r="BX27" s="225"/>
      <c r="BY27" s="225"/>
      <c r="BZ27" s="158" t="e">
        <f t="shared" ref="BZ27:BZ36" si="18">ROUND(AVERAGE(BS27:BY27),0)</f>
        <v>#DIV/0!</v>
      </c>
      <c r="CA27" s="171" t="str">
        <f t="shared" ref="CA27:CA36" si="19">IF(CD27&gt;=18,"AD",IF(CD27&gt;=15,"A",IF(CD27&gt;=11,"B"," ")))</f>
        <v> </v>
      </c>
      <c r="CB27" s="171"/>
      <c r="CC27" s="171"/>
      <c r="CD27" s="171"/>
      <c r="CE27" s="171"/>
      <c r="CF27" s="171"/>
      <c r="CG27" s="171"/>
      <c r="CH27" s="171"/>
      <c r="CI27" s="171"/>
      <c r="CJ27" s="158" t="e">
        <f t="shared" ref="CJ27:CJ36" si="20">ROUND(AVERAGE(CD27:CI27),0)</f>
        <v>#DIV/0!</v>
      </c>
      <c r="CK27" s="189"/>
      <c r="CL27" s="189"/>
      <c r="CM27" s="189"/>
      <c r="CN27" s="189"/>
      <c r="CO27" s="148"/>
      <c r="CP27" s="148"/>
      <c r="CQ27" s="148"/>
      <c r="CR27" s="211"/>
      <c r="CS27" s="139"/>
      <c r="CT27" s="139"/>
      <c r="CU27" s="139"/>
      <c r="CV27" s="139"/>
      <c r="CZ27">
        <f t="shared" si="10"/>
        <v>0</v>
      </c>
      <c r="DA27">
        <f t="shared" si="11"/>
        <v>4</v>
      </c>
    </row>
    <row r="28" ht="15" spans="1:105">
      <c r="A28" s="137">
        <v>22</v>
      </c>
      <c r="B28" s="138"/>
      <c r="C28" s="148"/>
      <c r="D28" s="139"/>
      <c r="E28" s="139"/>
      <c r="F28" s="139"/>
      <c r="G28" s="148"/>
      <c r="H28" s="148"/>
      <c r="I28" s="158"/>
      <c r="J28" s="159"/>
      <c r="K28" s="159"/>
      <c r="L28" s="159"/>
      <c r="M28" s="159"/>
      <c r="N28" s="159"/>
      <c r="O28" s="159"/>
      <c r="P28" s="159"/>
      <c r="Q28" s="159"/>
      <c r="R28" s="158"/>
      <c r="S28" s="170"/>
      <c r="T28" s="170"/>
      <c r="U28" s="170"/>
      <c r="V28" s="170"/>
      <c r="W28" s="148"/>
      <c r="X28" s="170"/>
      <c r="Y28" s="170"/>
      <c r="Z28" s="158"/>
      <c r="AA28" s="189"/>
      <c r="AB28" s="190"/>
      <c r="AC28" s="190"/>
      <c r="AD28" s="190"/>
      <c r="AE28" s="195"/>
      <c r="AF28" s="139"/>
      <c r="AG28" s="148"/>
      <c r="AH28" s="148"/>
      <c r="AI28" s="148"/>
      <c r="AJ28" s="148"/>
      <c r="AK28" s="148"/>
      <c r="AL28" s="148"/>
      <c r="AM28" s="158" t="e">
        <f t="shared" ref="AM28:AM36" si="21">ROUND(AVERAGE(AG28:AL28),0)</f>
        <v>#DIV/0!</v>
      </c>
      <c r="AN28" s="159" t="str">
        <f t="shared" si="12"/>
        <v> </v>
      </c>
      <c r="AO28" s="159"/>
      <c r="AP28" s="159"/>
      <c r="AQ28" s="159"/>
      <c r="AR28" s="159"/>
      <c r="AS28" s="159"/>
      <c r="AT28" s="159"/>
      <c r="AU28" s="158" t="e">
        <f t="shared" si="14"/>
        <v>#DIV/0!</v>
      </c>
      <c r="AV28" s="171" t="str">
        <f t="shared" si="15"/>
        <v> </v>
      </c>
      <c r="AW28" s="170"/>
      <c r="AX28" s="170"/>
      <c r="AY28" s="170"/>
      <c r="AZ28" s="170"/>
      <c r="BA28" s="170"/>
      <c r="BB28" s="170"/>
      <c r="BC28" s="170"/>
      <c r="BD28" s="158" t="e">
        <f t="shared" si="16"/>
        <v>#DIV/0!</v>
      </c>
      <c r="BE28" s="190" t="str">
        <f t="shared" si="13"/>
        <v> </v>
      </c>
      <c r="BF28" s="189"/>
      <c r="BG28" s="189"/>
      <c r="BH28" s="189"/>
      <c r="BI28" s="189"/>
      <c r="BJ28" s="189"/>
      <c r="BK28" s="189"/>
      <c r="BL28" s="158" t="e">
        <f t="shared" ref="BL28:BL36" si="22">ROUND(AVERAGE(BF28:BK28),0)</f>
        <v>#DIV/0!</v>
      </c>
      <c r="BM28" s="148"/>
      <c r="BN28" s="148"/>
      <c r="BO28" s="148"/>
      <c r="BP28" s="148"/>
      <c r="BQ28" s="148"/>
      <c r="BR28" s="159" t="str">
        <f t="shared" si="17"/>
        <v> </v>
      </c>
      <c r="BS28" s="225"/>
      <c r="BT28" s="225"/>
      <c r="BU28" s="225"/>
      <c r="BV28" s="225"/>
      <c r="BW28" s="225"/>
      <c r="BX28" s="225"/>
      <c r="BY28" s="225"/>
      <c r="BZ28" s="158" t="e">
        <f t="shared" si="18"/>
        <v>#DIV/0!</v>
      </c>
      <c r="CA28" s="171" t="str">
        <f t="shared" si="19"/>
        <v> </v>
      </c>
      <c r="CB28" s="171"/>
      <c r="CC28" s="171"/>
      <c r="CD28" s="171"/>
      <c r="CE28" s="171"/>
      <c r="CF28" s="171"/>
      <c r="CG28" s="171"/>
      <c r="CH28" s="171"/>
      <c r="CI28" s="171"/>
      <c r="CJ28" s="158" t="e">
        <f t="shared" si="20"/>
        <v>#DIV/0!</v>
      </c>
      <c r="CK28" s="189"/>
      <c r="CL28" s="189"/>
      <c r="CM28" s="189"/>
      <c r="CN28" s="195"/>
      <c r="CO28" s="148"/>
      <c r="CP28" s="148"/>
      <c r="CQ28" s="148"/>
      <c r="CR28" s="148"/>
      <c r="CS28" s="139"/>
      <c r="CT28" s="139"/>
      <c r="CU28" s="139"/>
      <c r="CV28" s="139"/>
      <c r="CZ28">
        <f t="shared" si="10"/>
        <v>0</v>
      </c>
      <c r="DA28">
        <f t="shared" si="11"/>
        <v>4</v>
      </c>
    </row>
    <row r="29" ht="15" spans="1:105">
      <c r="A29" s="137">
        <v>23</v>
      </c>
      <c r="B29" s="138"/>
      <c r="C29" s="148"/>
      <c r="D29" s="139"/>
      <c r="E29" s="148"/>
      <c r="F29" s="148"/>
      <c r="G29" s="148"/>
      <c r="H29" s="148"/>
      <c r="I29" s="158"/>
      <c r="J29" s="159"/>
      <c r="K29" s="159"/>
      <c r="L29" s="159"/>
      <c r="M29" s="159"/>
      <c r="N29" s="159"/>
      <c r="O29" s="159"/>
      <c r="P29" s="159"/>
      <c r="Q29" s="159"/>
      <c r="R29" s="158" t="e">
        <f t="shared" ref="R29:R36" si="23">ROUND(AVERAGE(P29:Q29),0)</f>
        <v>#DIV/0!</v>
      </c>
      <c r="S29" s="170"/>
      <c r="T29" s="170"/>
      <c r="U29" s="170"/>
      <c r="V29" s="170"/>
      <c r="W29" s="148"/>
      <c r="X29" s="170"/>
      <c r="Y29" s="170"/>
      <c r="Z29" s="158"/>
      <c r="AA29" s="189"/>
      <c r="AB29" s="190"/>
      <c r="AC29" s="190"/>
      <c r="AD29" s="190"/>
      <c r="AE29" s="189"/>
      <c r="AF29" s="139"/>
      <c r="AG29" s="148"/>
      <c r="AH29" s="148"/>
      <c r="AI29" s="148"/>
      <c r="AJ29" s="148"/>
      <c r="AK29" s="148"/>
      <c r="AL29" s="148"/>
      <c r="AM29" s="158" t="e">
        <f t="shared" si="21"/>
        <v>#DIV/0!</v>
      </c>
      <c r="AN29" s="159" t="str">
        <f t="shared" si="12"/>
        <v> </v>
      </c>
      <c r="AO29" s="159"/>
      <c r="AP29" s="159"/>
      <c r="AQ29" s="159"/>
      <c r="AR29" s="159"/>
      <c r="AS29" s="159"/>
      <c r="AT29" s="159"/>
      <c r="AU29" s="158" t="e">
        <f t="shared" si="14"/>
        <v>#DIV/0!</v>
      </c>
      <c r="AV29" s="171" t="str">
        <f t="shared" si="15"/>
        <v> </v>
      </c>
      <c r="AW29" s="170"/>
      <c r="AX29" s="170"/>
      <c r="AY29" s="170"/>
      <c r="AZ29" s="170"/>
      <c r="BA29" s="170"/>
      <c r="BB29" s="170"/>
      <c r="BC29" s="170"/>
      <c r="BD29" s="158" t="e">
        <f t="shared" si="16"/>
        <v>#DIV/0!</v>
      </c>
      <c r="BE29" s="190" t="str">
        <f t="shared" si="13"/>
        <v> </v>
      </c>
      <c r="BF29" s="189"/>
      <c r="BG29" s="189"/>
      <c r="BH29" s="189"/>
      <c r="BI29" s="189"/>
      <c r="BJ29" s="189"/>
      <c r="BK29" s="189"/>
      <c r="BL29" s="158" t="e">
        <f t="shared" si="22"/>
        <v>#DIV/0!</v>
      </c>
      <c r="BM29" s="148"/>
      <c r="BN29" s="148"/>
      <c r="BO29" s="148"/>
      <c r="BP29" s="148"/>
      <c r="BQ29" s="211"/>
      <c r="BR29" s="159" t="str">
        <f t="shared" si="17"/>
        <v> </v>
      </c>
      <c r="BS29" s="225"/>
      <c r="BT29" s="225"/>
      <c r="BU29" s="225"/>
      <c r="BV29" s="225"/>
      <c r="BW29" s="225"/>
      <c r="BX29" s="225"/>
      <c r="BY29" s="225"/>
      <c r="BZ29" s="158" t="e">
        <f t="shared" si="18"/>
        <v>#DIV/0!</v>
      </c>
      <c r="CA29" s="171" t="str">
        <f t="shared" si="19"/>
        <v> </v>
      </c>
      <c r="CB29" s="171"/>
      <c r="CC29" s="171"/>
      <c r="CD29" s="171"/>
      <c r="CE29" s="171"/>
      <c r="CF29" s="171"/>
      <c r="CG29" s="171"/>
      <c r="CH29" s="171"/>
      <c r="CI29" s="171"/>
      <c r="CJ29" s="158" t="e">
        <f t="shared" si="20"/>
        <v>#DIV/0!</v>
      </c>
      <c r="CK29" s="189"/>
      <c r="CL29" s="189"/>
      <c r="CM29" s="189"/>
      <c r="CN29" s="189"/>
      <c r="CO29" s="148"/>
      <c r="CP29" s="148"/>
      <c r="CQ29" s="148"/>
      <c r="CR29" s="211"/>
      <c r="CS29" s="139"/>
      <c r="CT29" s="139"/>
      <c r="CU29" s="139"/>
      <c r="CV29" s="139"/>
      <c r="CZ29">
        <f t="shared" si="10"/>
        <v>0</v>
      </c>
      <c r="DA29">
        <f t="shared" si="11"/>
        <v>4</v>
      </c>
    </row>
    <row r="30" ht="15" spans="1:105">
      <c r="A30" s="137">
        <v>24</v>
      </c>
      <c r="B30" s="138"/>
      <c r="C30" s="148"/>
      <c r="D30" s="139"/>
      <c r="E30" s="148"/>
      <c r="F30" s="148"/>
      <c r="G30" s="148"/>
      <c r="H30" s="148"/>
      <c r="I30" s="158"/>
      <c r="J30" s="159"/>
      <c r="K30" s="159"/>
      <c r="L30" s="159"/>
      <c r="M30" s="159"/>
      <c r="N30" s="159"/>
      <c r="O30" s="159"/>
      <c r="P30" s="159"/>
      <c r="Q30" s="159"/>
      <c r="R30" s="158" t="e">
        <f t="shared" si="23"/>
        <v>#DIV/0!</v>
      </c>
      <c r="S30" s="170"/>
      <c r="T30" s="170"/>
      <c r="U30" s="170"/>
      <c r="V30" s="170"/>
      <c r="W30" s="148"/>
      <c r="X30" s="170"/>
      <c r="Y30" s="170"/>
      <c r="Z30" s="158" t="e">
        <f t="shared" ref="Z30:Z36" si="24">ROUND(AVERAGE(X30:Y30),0)</f>
        <v>#DIV/0!</v>
      </c>
      <c r="AA30" s="189"/>
      <c r="AB30" s="190"/>
      <c r="AC30" s="190"/>
      <c r="AD30" s="190"/>
      <c r="AE30" s="189"/>
      <c r="AF30" s="139"/>
      <c r="AG30" s="148"/>
      <c r="AH30" s="148"/>
      <c r="AI30" s="148"/>
      <c r="AJ30" s="148"/>
      <c r="AK30" s="148"/>
      <c r="AL30" s="148"/>
      <c r="AM30" s="158" t="e">
        <f t="shared" si="21"/>
        <v>#DIV/0!</v>
      </c>
      <c r="AN30" s="159" t="str">
        <f t="shared" si="12"/>
        <v> </v>
      </c>
      <c r="AO30" s="159"/>
      <c r="AP30" s="159"/>
      <c r="AQ30" s="159"/>
      <c r="AR30" s="159"/>
      <c r="AS30" s="159"/>
      <c r="AT30" s="159"/>
      <c r="AU30" s="158" t="e">
        <f t="shared" si="14"/>
        <v>#DIV/0!</v>
      </c>
      <c r="AV30" s="171" t="str">
        <f t="shared" si="15"/>
        <v> </v>
      </c>
      <c r="AW30" s="170"/>
      <c r="AX30" s="170"/>
      <c r="AY30" s="170"/>
      <c r="AZ30" s="170"/>
      <c r="BA30" s="170"/>
      <c r="BB30" s="170"/>
      <c r="BC30" s="170"/>
      <c r="BD30" s="158" t="e">
        <f t="shared" si="16"/>
        <v>#DIV/0!</v>
      </c>
      <c r="BE30" s="190" t="str">
        <f t="shared" si="13"/>
        <v> </v>
      </c>
      <c r="BF30" s="189"/>
      <c r="BG30" s="189"/>
      <c r="BH30" s="189"/>
      <c r="BI30" s="189"/>
      <c r="BJ30" s="189"/>
      <c r="BK30" s="189"/>
      <c r="BL30" s="158" t="e">
        <f t="shared" si="22"/>
        <v>#DIV/0!</v>
      </c>
      <c r="BM30" s="148"/>
      <c r="BN30" s="148"/>
      <c r="BO30" s="148"/>
      <c r="BP30" s="148"/>
      <c r="BQ30" s="211"/>
      <c r="BR30" s="159" t="str">
        <f t="shared" si="17"/>
        <v> </v>
      </c>
      <c r="BS30" s="225"/>
      <c r="BT30" s="225"/>
      <c r="BU30" s="225"/>
      <c r="BV30" s="225"/>
      <c r="BW30" s="225"/>
      <c r="BX30" s="225"/>
      <c r="BY30" s="225"/>
      <c r="BZ30" s="158" t="e">
        <f t="shared" si="18"/>
        <v>#DIV/0!</v>
      </c>
      <c r="CA30" s="171" t="str">
        <f t="shared" si="19"/>
        <v> </v>
      </c>
      <c r="CB30" s="171"/>
      <c r="CC30" s="171"/>
      <c r="CD30" s="171"/>
      <c r="CE30" s="171"/>
      <c r="CF30" s="171"/>
      <c r="CG30" s="171"/>
      <c r="CH30" s="171"/>
      <c r="CI30" s="171"/>
      <c r="CJ30" s="158" t="e">
        <f t="shared" si="20"/>
        <v>#DIV/0!</v>
      </c>
      <c r="CK30" s="189"/>
      <c r="CL30" s="189"/>
      <c r="CM30" s="189"/>
      <c r="CN30" s="189"/>
      <c r="CO30" s="148"/>
      <c r="CP30" s="148"/>
      <c r="CQ30" s="148"/>
      <c r="CR30" s="211"/>
      <c r="CS30" s="139"/>
      <c r="CT30" s="139"/>
      <c r="CU30" s="139"/>
      <c r="CV30" s="139"/>
      <c r="CZ30">
        <f t="shared" si="10"/>
        <v>0</v>
      </c>
      <c r="DA30">
        <f t="shared" si="11"/>
        <v>4</v>
      </c>
    </row>
    <row r="31" ht="15" spans="1:105">
      <c r="A31" s="137">
        <v>25</v>
      </c>
      <c r="B31" s="138"/>
      <c r="C31" s="148"/>
      <c r="D31" s="139"/>
      <c r="E31" s="148"/>
      <c r="F31" s="148"/>
      <c r="G31" s="148"/>
      <c r="H31" s="148"/>
      <c r="I31" s="158"/>
      <c r="J31" s="159"/>
      <c r="K31" s="159"/>
      <c r="L31" s="159"/>
      <c r="M31" s="159"/>
      <c r="N31" s="159"/>
      <c r="O31" s="159"/>
      <c r="P31" s="159"/>
      <c r="Q31" s="159"/>
      <c r="R31" s="158" t="e">
        <f t="shared" si="23"/>
        <v>#DIV/0!</v>
      </c>
      <c r="S31" s="170"/>
      <c r="T31" s="170"/>
      <c r="U31" s="170"/>
      <c r="V31" s="170"/>
      <c r="W31" s="148"/>
      <c r="X31" s="170"/>
      <c r="Y31" s="170"/>
      <c r="Z31" s="158" t="e">
        <f t="shared" si="24"/>
        <v>#DIV/0!</v>
      </c>
      <c r="AA31" s="197"/>
      <c r="AB31" s="198"/>
      <c r="AC31" s="198"/>
      <c r="AD31" s="198"/>
      <c r="AE31" s="197"/>
      <c r="AF31" s="139"/>
      <c r="AG31" s="148"/>
      <c r="AH31" s="148"/>
      <c r="AI31" s="148"/>
      <c r="AJ31" s="148"/>
      <c r="AK31" s="148"/>
      <c r="AL31" s="148"/>
      <c r="AM31" s="158" t="e">
        <f t="shared" si="21"/>
        <v>#DIV/0!</v>
      </c>
      <c r="AN31" s="159" t="str">
        <f t="shared" si="12"/>
        <v> </v>
      </c>
      <c r="AO31" s="159"/>
      <c r="AP31" s="159"/>
      <c r="AQ31" s="159"/>
      <c r="AR31" s="159"/>
      <c r="AS31" s="159"/>
      <c r="AT31" s="159"/>
      <c r="AU31" s="158" t="e">
        <f t="shared" si="14"/>
        <v>#DIV/0!</v>
      </c>
      <c r="AV31" s="171" t="str">
        <f t="shared" si="15"/>
        <v> </v>
      </c>
      <c r="AW31" s="170"/>
      <c r="AX31" s="170"/>
      <c r="AY31" s="170"/>
      <c r="AZ31" s="170"/>
      <c r="BA31" s="170"/>
      <c r="BB31" s="170"/>
      <c r="BC31" s="170"/>
      <c r="BD31" s="158" t="e">
        <f t="shared" si="16"/>
        <v>#DIV/0!</v>
      </c>
      <c r="BE31" s="190" t="str">
        <f t="shared" si="13"/>
        <v> </v>
      </c>
      <c r="BF31" s="189"/>
      <c r="BG31" s="189"/>
      <c r="BH31" s="189"/>
      <c r="BI31" s="189"/>
      <c r="BJ31" s="189"/>
      <c r="BK31" s="189"/>
      <c r="BL31" s="158" t="e">
        <f t="shared" si="22"/>
        <v>#DIV/0!</v>
      </c>
      <c r="BM31" s="148"/>
      <c r="BN31" s="148"/>
      <c r="BO31" s="148"/>
      <c r="BP31" s="148"/>
      <c r="BQ31" s="148"/>
      <c r="BR31" s="159" t="str">
        <f t="shared" si="17"/>
        <v> </v>
      </c>
      <c r="BS31" s="225"/>
      <c r="BT31" s="225"/>
      <c r="BU31" s="225"/>
      <c r="BV31" s="225"/>
      <c r="BW31" s="225"/>
      <c r="BX31" s="225"/>
      <c r="BY31" s="225"/>
      <c r="BZ31" s="158" t="e">
        <f t="shared" si="18"/>
        <v>#DIV/0!</v>
      </c>
      <c r="CA31" s="171" t="str">
        <f t="shared" si="19"/>
        <v> </v>
      </c>
      <c r="CB31" s="171"/>
      <c r="CC31" s="171"/>
      <c r="CD31" s="171"/>
      <c r="CE31" s="171"/>
      <c r="CF31" s="171"/>
      <c r="CG31" s="171"/>
      <c r="CH31" s="171"/>
      <c r="CI31" s="171"/>
      <c r="CJ31" s="158" t="e">
        <f t="shared" si="20"/>
        <v>#DIV/0!</v>
      </c>
      <c r="CK31" s="197"/>
      <c r="CL31" s="197"/>
      <c r="CM31" s="197"/>
      <c r="CN31" s="197"/>
      <c r="CO31" s="148"/>
      <c r="CP31" s="148"/>
      <c r="CQ31" s="148"/>
      <c r="CR31" s="148"/>
      <c r="CS31" s="159"/>
      <c r="CT31" s="159"/>
      <c r="CU31" s="159"/>
      <c r="CV31" s="159"/>
      <c r="CZ31">
        <f t="shared" si="10"/>
        <v>0</v>
      </c>
      <c r="DA31">
        <f t="shared" si="11"/>
        <v>4</v>
      </c>
    </row>
    <row r="32" ht="15" spans="1:105">
      <c r="A32" s="137">
        <v>26</v>
      </c>
      <c r="B32" s="138"/>
      <c r="C32" s="148"/>
      <c r="D32" s="139"/>
      <c r="E32" s="148"/>
      <c r="F32" s="148"/>
      <c r="G32" s="148"/>
      <c r="H32" s="148"/>
      <c r="I32" s="158"/>
      <c r="J32" s="159"/>
      <c r="K32" s="159"/>
      <c r="L32" s="159"/>
      <c r="M32" s="159"/>
      <c r="N32" s="159"/>
      <c r="O32" s="159"/>
      <c r="P32" s="159"/>
      <c r="Q32" s="159"/>
      <c r="R32" s="158" t="e">
        <f t="shared" si="23"/>
        <v>#DIV/0!</v>
      </c>
      <c r="S32" s="170"/>
      <c r="T32" s="170"/>
      <c r="U32" s="170"/>
      <c r="V32" s="170"/>
      <c r="W32" s="148"/>
      <c r="X32" s="170"/>
      <c r="Y32" s="170"/>
      <c r="Z32" s="158" t="e">
        <f t="shared" si="24"/>
        <v>#DIV/0!</v>
      </c>
      <c r="AA32" s="189"/>
      <c r="AB32" s="190"/>
      <c r="AC32" s="190"/>
      <c r="AD32" s="190"/>
      <c r="AE32" s="189"/>
      <c r="AF32" s="139"/>
      <c r="AG32" s="148"/>
      <c r="AH32" s="148"/>
      <c r="AI32" s="148"/>
      <c r="AJ32" s="148"/>
      <c r="AK32" s="148"/>
      <c r="AL32" s="148"/>
      <c r="AM32" s="158" t="e">
        <f t="shared" si="21"/>
        <v>#DIV/0!</v>
      </c>
      <c r="AN32" s="159" t="str">
        <f t="shared" si="12"/>
        <v> </v>
      </c>
      <c r="AO32" s="159"/>
      <c r="AP32" s="159"/>
      <c r="AQ32" s="159"/>
      <c r="AR32" s="159"/>
      <c r="AS32" s="159"/>
      <c r="AT32" s="159"/>
      <c r="AU32" s="158" t="e">
        <f t="shared" si="14"/>
        <v>#DIV/0!</v>
      </c>
      <c r="AV32" s="171" t="str">
        <f t="shared" si="15"/>
        <v> </v>
      </c>
      <c r="AW32" s="170"/>
      <c r="AX32" s="170"/>
      <c r="AY32" s="170"/>
      <c r="AZ32" s="170"/>
      <c r="BA32" s="170"/>
      <c r="BB32" s="170"/>
      <c r="BC32" s="170"/>
      <c r="BD32" s="158" t="e">
        <f t="shared" si="16"/>
        <v>#DIV/0!</v>
      </c>
      <c r="BE32" s="190" t="str">
        <f t="shared" si="13"/>
        <v> </v>
      </c>
      <c r="BF32" s="189"/>
      <c r="BG32" s="189"/>
      <c r="BH32" s="189"/>
      <c r="BI32" s="189"/>
      <c r="BJ32" s="189"/>
      <c r="BK32" s="189"/>
      <c r="BL32" s="158" t="e">
        <f t="shared" si="22"/>
        <v>#DIV/0!</v>
      </c>
      <c r="BM32" s="211"/>
      <c r="BN32" s="148"/>
      <c r="BO32" s="148"/>
      <c r="BP32" s="148"/>
      <c r="BQ32" s="211"/>
      <c r="BR32" s="159" t="str">
        <f t="shared" si="17"/>
        <v> </v>
      </c>
      <c r="BS32" s="225"/>
      <c r="BT32" s="225"/>
      <c r="BU32" s="225"/>
      <c r="BV32" s="225"/>
      <c r="BW32" s="225"/>
      <c r="BX32" s="225"/>
      <c r="BY32" s="225"/>
      <c r="BZ32" s="158" t="e">
        <f t="shared" si="18"/>
        <v>#DIV/0!</v>
      </c>
      <c r="CA32" s="171" t="str">
        <f t="shared" si="19"/>
        <v> </v>
      </c>
      <c r="CB32" s="171"/>
      <c r="CC32" s="171"/>
      <c r="CD32" s="171"/>
      <c r="CE32" s="171"/>
      <c r="CF32" s="171"/>
      <c r="CG32" s="171"/>
      <c r="CH32" s="171"/>
      <c r="CI32" s="171"/>
      <c r="CJ32" s="158" t="e">
        <f t="shared" si="20"/>
        <v>#DIV/0!</v>
      </c>
      <c r="CK32" s="189"/>
      <c r="CL32" s="189"/>
      <c r="CM32" s="189"/>
      <c r="CN32" s="189"/>
      <c r="CO32" s="211"/>
      <c r="CP32" s="148"/>
      <c r="CQ32" s="148"/>
      <c r="CR32" s="211"/>
      <c r="CS32" s="159"/>
      <c r="CT32" s="159"/>
      <c r="CU32" s="159"/>
      <c r="CV32" s="159"/>
      <c r="CZ32">
        <f t="shared" si="10"/>
        <v>0</v>
      </c>
      <c r="DA32">
        <f t="shared" si="11"/>
        <v>4</v>
      </c>
    </row>
    <row r="33" ht="15" spans="1:105">
      <c r="A33" s="137">
        <v>27</v>
      </c>
      <c r="B33" s="138"/>
      <c r="C33" s="148"/>
      <c r="D33" s="139"/>
      <c r="E33" s="148"/>
      <c r="F33" s="148"/>
      <c r="G33" s="148"/>
      <c r="H33" s="148"/>
      <c r="I33" s="158"/>
      <c r="J33" s="159"/>
      <c r="K33" s="159"/>
      <c r="L33" s="159"/>
      <c r="M33" s="159"/>
      <c r="N33" s="159"/>
      <c r="O33" s="159"/>
      <c r="P33" s="159"/>
      <c r="Q33" s="159"/>
      <c r="R33" s="158" t="e">
        <f t="shared" si="23"/>
        <v>#DIV/0!</v>
      </c>
      <c r="S33" s="170"/>
      <c r="T33" s="170"/>
      <c r="U33" s="170"/>
      <c r="V33" s="170"/>
      <c r="W33" s="148"/>
      <c r="X33" s="170"/>
      <c r="Y33" s="170"/>
      <c r="Z33" s="158" t="e">
        <f t="shared" si="24"/>
        <v>#DIV/0!</v>
      </c>
      <c r="AA33" s="189"/>
      <c r="AB33" s="190"/>
      <c r="AC33" s="190"/>
      <c r="AD33" s="190"/>
      <c r="AE33" s="189"/>
      <c r="AF33" s="139"/>
      <c r="AG33" s="148"/>
      <c r="AH33" s="148"/>
      <c r="AI33" s="148"/>
      <c r="AJ33" s="148"/>
      <c r="AK33" s="148"/>
      <c r="AL33" s="148"/>
      <c r="AM33" s="158" t="e">
        <f t="shared" si="21"/>
        <v>#DIV/0!</v>
      </c>
      <c r="AN33" s="159" t="str">
        <f t="shared" si="12"/>
        <v> </v>
      </c>
      <c r="AO33" s="159"/>
      <c r="AP33" s="159"/>
      <c r="AQ33" s="159"/>
      <c r="AR33" s="159"/>
      <c r="AS33" s="159"/>
      <c r="AT33" s="159"/>
      <c r="AU33" s="158" t="e">
        <f t="shared" si="14"/>
        <v>#DIV/0!</v>
      </c>
      <c r="AV33" s="171" t="str">
        <f t="shared" si="15"/>
        <v> </v>
      </c>
      <c r="AW33" s="170"/>
      <c r="AX33" s="170"/>
      <c r="AY33" s="170"/>
      <c r="AZ33" s="170"/>
      <c r="BA33" s="170"/>
      <c r="BB33" s="170"/>
      <c r="BC33" s="170"/>
      <c r="BD33" s="158" t="e">
        <f t="shared" si="16"/>
        <v>#DIV/0!</v>
      </c>
      <c r="BE33" s="190" t="str">
        <f t="shared" si="13"/>
        <v> </v>
      </c>
      <c r="BF33" s="189"/>
      <c r="BG33" s="189"/>
      <c r="BH33" s="189"/>
      <c r="BI33" s="189"/>
      <c r="BJ33" s="189"/>
      <c r="BK33" s="189"/>
      <c r="BL33" s="158" t="e">
        <f t="shared" si="22"/>
        <v>#DIV/0!</v>
      </c>
      <c r="BM33" s="148"/>
      <c r="BN33" s="148"/>
      <c r="BO33" s="148"/>
      <c r="BP33" s="148"/>
      <c r="BQ33" s="148"/>
      <c r="BR33" s="159" t="str">
        <f t="shared" si="17"/>
        <v> </v>
      </c>
      <c r="BS33" s="225"/>
      <c r="BT33" s="225"/>
      <c r="BU33" s="225"/>
      <c r="BV33" s="225"/>
      <c r="BW33" s="225"/>
      <c r="BX33" s="225"/>
      <c r="BY33" s="225"/>
      <c r="BZ33" s="158" t="e">
        <f t="shared" si="18"/>
        <v>#DIV/0!</v>
      </c>
      <c r="CA33" s="171" t="str">
        <f t="shared" si="19"/>
        <v> </v>
      </c>
      <c r="CB33" s="171"/>
      <c r="CC33" s="171"/>
      <c r="CD33" s="171"/>
      <c r="CE33" s="171"/>
      <c r="CF33" s="171"/>
      <c r="CG33" s="171"/>
      <c r="CH33" s="171"/>
      <c r="CI33" s="171"/>
      <c r="CJ33" s="158" t="e">
        <f t="shared" si="20"/>
        <v>#DIV/0!</v>
      </c>
      <c r="CK33" s="189"/>
      <c r="CL33" s="189"/>
      <c r="CM33" s="189"/>
      <c r="CN33" s="189"/>
      <c r="CO33" s="148"/>
      <c r="CP33" s="148"/>
      <c r="CQ33" s="148"/>
      <c r="CR33" s="148"/>
      <c r="CS33" s="159"/>
      <c r="CT33" s="159"/>
      <c r="CU33" s="159"/>
      <c r="CV33" s="159"/>
      <c r="CZ33">
        <f t="shared" si="10"/>
        <v>0</v>
      </c>
      <c r="DA33">
        <f t="shared" si="11"/>
        <v>4</v>
      </c>
    </row>
    <row r="34" ht="15" spans="1:105">
      <c r="A34" s="137">
        <v>28</v>
      </c>
      <c r="B34" s="138"/>
      <c r="C34" s="148"/>
      <c r="D34" s="139"/>
      <c r="E34" s="148"/>
      <c r="F34" s="148"/>
      <c r="G34" s="148"/>
      <c r="H34" s="148"/>
      <c r="I34" s="158" t="e">
        <f t="shared" ref="I34:I36" si="25">ROUND(AVERAGE(D34:H34),0)</f>
        <v>#DIV/0!</v>
      </c>
      <c r="J34" s="159"/>
      <c r="K34" s="159"/>
      <c r="L34" s="159"/>
      <c r="M34" s="159"/>
      <c r="N34" s="159"/>
      <c r="O34" s="159"/>
      <c r="P34" s="159"/>
      <c r="Q34" s="159"/>
      <c r="R34" s="158" t="e">
        <f t="shared" si="23"/>
        <v>#DIV/0!</v>
      </c>
      <c r="S34" s="170"/>
      <c r="T34" s="170"/>
      <c r="U34" s="170"/>
      <c r="V34" s="170"/>
      <c r="W34" s="148"/>
      <c r="X34" s="170"/>
      <c r="Y34" s="170"/>
      <c r="Z34" s="158" t="e">
        <f t="shared" si="24"/>
        <v>#DIV/0!</v>
      </c>
      <c r="AA34" s="189"/>
      <c r="AB34" s="190"/>
      <c r="AC34" s="190"/>
      <c r="AD34" s="190"/>
      <c r="AE34" s="189"/>
      <c r="AF34" s="139"/>
      <c r="AG34" s="148"/>
      <c r="AH34" s="148"/>
      <c r="AI34" s="148"/>
      <c r="AJ34" s="148"/>
      <c r="AK34" s="148"/>
      <c r="AL34" s="148"/>
      <c r="AM34" s="158" t="e">
        <f t="shared" si="21"/>
        <v>#DIV/0!</v>
      </c>
      <c r="AN34" s="159" t="str">
        <f t="shared" si="12"/>
        <v> </v>
      </c>
      <c r="AO34" s="159"/>
      <c r="AP34" s="159"/>
      <c r="AQ34" s="159"/>
      <c r="AR34" s="159"/>
      <c r="AS34" s="159"/>
      <c r="AT34" s="159"/>
      <c r="AU34" s="158" t="e">
        <f t="shared" si="14"/>
        <v>#DIV/0!</v>
      </c>
      <c r="AV34" s="171" t="str">
        <f t="shared" si="15"/>
        <v> </v>
      </c>
      <c r="AW34" s="170"/>
      <c r="AX34" s="170"/>
      <c r="AY34" s="170"/>
      <c r="AZ34" s="170"/>
      <c r="BA34" s="170"/>
      <c r="BB34" s="170"/>
      <c r="BC34" s="170"/>
      <c r="BD34" s="158" t="e">
        <f t="shared" si="16"/>
        <v>#DIV/0!</v>
      </c>
      <c r="BE34" s="190" t="str">
        <f t="shared" si="13"/>
        <v> </v>
      </c>
      <c r="BF34" s="189"/>
      <c r="BG34" s="189"/>
      <c r="BH34" s="189"/>
      <c r="BI34" s="189"/>
      <c r="BJ34" s="189"/>
      <c r="BK34" s="189"/>
      <c r="BL34" s="158" t="e">
        <f t="shared" si="22"/>
        <v>#DIV/0!</v>
      </c>
      <c r="BM34" s="148"/>
      <c r="BN34" s="148"/>
      <c r="BO34" s="148"/>
      <c r="BP34" s="148"/>
      <c r="BQ34" s="211"/>
      <c r="BR34" s="159" t="str">
        <f t="shared" si="17"/>
        <v> </v>
      </c>
      <c r="BS34" s="225"/>
      <c r="BT34" s="225"/>
      <c r="BU34" s="225"/>
      <c r="BV34" s="225"/>
      <c r="BW34" s="225"/>
      <c r="BX34" s="225"/>
      <c r="BY34" s="225"/>
      <c r="BZ34" s="158" t="e">
        <f t="shared" si="18"/>
        <v>#DIV/0!</v>
      </c>
      <c r="CA34" s="171" t="str">
        <f t="shared" si="19"/>
        <v> </v>
      </c>
      <c r="CB34" s="171"/>
      <c r="CC34" s="171"/>
      <c r="CD34" s="171"/>
      <c r="CE34" s="171"/>
      <c r="CF34" s="171"/>
      <c r="CG34" s="171"/>
      <c r="CH34" s="171"/>
      <c r="CI34" s="171"/>
      <c r="CJ34" s="158" t="e">
        <f t="shared" si="20"/>
        <v>#DIV/0!</v>
      </c>
      <c r="CK34" s="189"/>
      <c r="CL34" s="189"/>
      <c r="CM34" s="189"/>
      <c r="CN34" s="189"/>
      <c r="CO34" s="148"/>
      <c r="CP34" s="148"/>
      <c r="CQ34" s="148"/>
      <c r="CR34" s="211"/>
      <c r="CS34" s="159"/>
      <c r="CT34" s="159"/>
      <c r="CU34" s="159"/>
      <c r="CV34" s="159"/>
      <c r="CZ34">
        <f t="shared" si="10"/>
        <v>0</v>
      </c>
      <c r="DA34">
        <f t="shared" si="11"/>
        <v>4</v>
      </c>
    </row>
    <row r="35" ht="15" spans="1:105">
      <c r="A35" s="137">
        <v>29</v>
      </c>
      <c r="B35" s="138"/>
      <c r="C35" s="148"/>
      <c r="D35" s="139"/>
      <c r="E35" s="148"/>
      <c r="F35" s="148"/>
      <c r="G35" s="148"/>
      <c r="H35" s="148"/>
      <c r="I35" s="158" t="e">
        <f t="shared" si="25"/>
        <v>#DIV/0!</v>
      </c>
      <c r="J35" s="159"/>
      <c r="K35" s="159"/>
      <c r="L35" s="159"/>
      <c r="M35" s="159"/>
      <c r="N35" s="159"/>
      <c r="O35" s="159"/>
      <c r="P35" s="159"/>
      <c r="Q35" s="159"/>
      <c r="R35" s="158" t="e">
        <f t="shared" si="23"/>
        <v>#DIV/0!</v>
      </c>
      <c r="S35" s="170"/>
      <c r="T35" s="170"/>
      <c r="U35" s="170"/>
      <c r="V35" s="170"/>
      <c r="W35" s="148"/>
      <c r="X35" s="170"/>
      <c r="Y35" s="170"/>
      <c r="Z35" s="158" t="e">
        <f t="shared" si="24"/>
        <v>#DIV/0!</v>
      </c>
      <c r="AA35" s="189"/>
      <c r="AB35" s="190"/>
      <c r="AC35" s="190"/>
      <c r="AD35" s="190"/>
      <c r="AE35" s="189"/>
      <c r="AF35" s="139"/>
      <c r="AG35" s="148"/>
      <c r="AH35" s="148"/>
      <c r="AI35" s="148"/>
      <c r="AJ35" s="148"/>
      <c r="AK35" s="148"/>
      <c r="AL35" s="148"/>
      <c r="AM35" s="158" t="e">
        <f t="shared" si="21"/>
        <v>#DIV/0!</v>
      </c>
      <c r="AN35" s="159" t="str">
        <f t="shared" si="12"/>
        <v> </v>
      </c>
      <c r="AO35" s="159"/>
      <c r="AP35" s="159"/>
      <c r="AQ35" s="159"/>
      <c r="AR35" s="159"/>
      <c r="AS35" s="159"/>
      <c r="AT35" s="159"/>
      <c r="AU35" s="158" t="e">
        <f t="shared" si="14"/>
        <v>#DIV/0!</v>
      </c>
      <c r="AV35" s="171" t="str">
        <f t="shared" si="15"/>
        <v> </v>
      </c>
      <c r="AW35" s="170"/>
      <c r="AX35" s="170"/>
      <c r="AY35" s="170"/>
      <c r="AZ35" s="170"/>
      <c r="BA35" s="170"/>
      <c r="BB35" s="170"/>
      <c r="BC35" s="170"/>
      <c r="BD35" s="158" t="e">
        <f t="shared" si="16"/>
        <v>#DIV/0!</v>
      </c>
      <c r="BE35" s="190" t="str">
        <f t="shared" si="13"/>
        <v> </v>
      </c>
      <c r="BF35" s="189"/>
      <c r="BG35" s="189"/>
      <c r="BH35" s="189"/>
      <c r="BI35" s="189"/>
      <c r="BJ35" s="189"/>
      <c r="BK35" s="189"/>
      <c r="BL35" s="158" t="e">
        <f t="shared" si="22"/>
        <v>#DIV/0!</v>
      </c>
      <c r="BM35" s="148"/>
      <c r="BN35" s="148"/>
      <c r="BO35" s="148"/>
      <c r="BP35" s="148"/>
      <c r="BQ35" s="148"/>
      <c r="BR35" s="159" t="str">
        <f t="shared" si="17"/>
        <v> </v>
      </c>
      <c r="BS35" s="225"/>
      <c r="BT35" s="225"/>
      <c r="BU35" s="225"/>
      <c r="BV35" s="225"/>
      <c r="BW35" s="225"/>
      <c r="BX35" s="225"/>
      <c r="BY35" s="225"/>
      <c r="BZ35" s="158" t="e">
        <f t="shared" si="18"/>
        <v>#DIV/0!</v>
      </c>
      <c r="CA35" s="171" t="str">
        <f t="shared" si="19"/>
        <v> </v>
      </c>
      <c r="CB35" s="171"/>
      <c r="CC35" s="171"/>
      <c r="CD35" s="171"/>
      <c r="CE35" s="171"/>
      <c r="CF35" s="171"/>
      <c r="CG35" s="171"/>
      <c r="CH35" s="171"/>
      <c r="CI35" s="171"/>
      <c r="CJ35" s="158" t="e">
        <f t="shared" si="20"/>
        <v>#DIV/0!</v>
      </c>
      <c r="CK35" s="189"/>
      <c r="CL35" s="189"/>
      <c r="CM35" s="189"/>
      <c r="CN35" s="189"/>
      <c r="CO35" s="148"/>
      <c r="CP35" s="148"/>
      <c r="CQ35" s="148"/>
      <c r="CR35" s="148"/>
      <c r="CS35" s="159"/>
      <c r="CT35" s="159"/>
      <c r="CU35" s="159"/>
      <c r="CV35" s="159"/>
      <c r="CZ35">
        <f t="shared" si="10"/>
        <v>0</v>
      </c>
      <c r="DA35">
        <f t="shared" si="11"/>
        <v>4</v>
      </c>
    </row>
    <row r="36" ht="15" spans="1:104">
      <c r="A36" s="137">
        <v>30</v>
      </c>
      <c r="B36" s="138"/>
      <c r="C36" s="148"/>
      <c r="D36" s="139"/>
      <c r="E36" s="148"/>
      <c r="F36" s="148"/>
      <c r="G36" s="148"/>
      <c r="H36" s="148"/>
      <c r="I36" s="158" t="e">
        <f t="shared" si="25"/>
        <v>#DIV/0!</v>
      </c>
      <c r="J36" s="159"/>
      <c r="K36" s="159"/>
      <c r="L36" s="159"/>
      <c r="M36" s="159"/>
      <c r="N36" s="159"/>
      <c r="O36" s="159"/>
      <c r="P36" s="159"/>
      <c r="Q36" s="159"/>
      <c r="R36" s="158" t="e">
        <f t="shared" si="23"/>
        <v>#DIV/0!</v>
      </c>
      <c r="S36" s="170"/>
      <c r="T36" s="170"/>
      <c r="U36" s="170"/>
      <c r="V36" s="170"/>
      <c r="W36" s="139"/>
      <c r="X36" s="170"/>
      <c r="Y36" s="170"/>
      <c r="Z36" s="158" t="e">
        <f t="shared" si="24"/>
        <v>#DIV/0!</v>
      </c>
      <c r="AA36" s="189"/>
      <c r="AB36" s="189"/>
      <c r="AC36" s="189"/>
      <c r="AD36" s="189"/>
      <c r="AE36" s="189"/>
      <c r="AF36" s="139"/>
      <c r="AG36" s="139"/>
      <c r="AH36" s="139"/>
      <c r="AI36" s="139"/>
      <c r="AJ36" s="139"/>
      <c r="AK36" s="139"/>
      <c r="AL36" s="139"/>
      <c r="AM36" s="158" t="e">
        <f t="shared" si="21"/>
        <v>#DIV/0!</v>
      </c>
      <c r="AN36" s="159" t="str">
        <f t="shared" si="12"/>
        <v> </v>
      </c>
      <c r="AO36" s="159"/>
      <c r="AP36" s="159"/>
      <c r="AQ36" s="159"/>
      <c r="AR36" s="159"/>
      <c r="AS36" s="159"/>
      <c r="AT36" s="159"/>
      <c r="AU36" s="158" t="e">
        <f t="shared" si="14"/>
        <v>#DIV/0!</v>
      </c>
      <c r="AV36" s="171" t="str">
        <f t="shared" si="15"/>
        <v> </v>
      </c>
      <c r="AW36" s="171"/>
      <c r="AX36" s="171"/>
      <c r="AY36" s="171"/>
      <c r="AZ36" s="171"/>
      <c r="BA36" s="171"/>
      <c r="BB36" s="171"/>
      <c r="BC36" s="171"/>
      <c r="BD36" s="158" t="e">
        <f t="shared" si="16"/>
        <v>#DIV/0!</v>
      </c>
      <c r="BE36" s="190" t="str">
        <f t="shared" si="13"/>
        <v> </v>
      </c>
      <c r="BF36" s="190"/>
      <c r="BG36" s="190"/>
      <c r="BH36" s="190"/>
      <c r="BI36" s="190"/>
      <c r="BJ36" s="190"/>
      <c r="BK36" s="190"/>
      <c r="BL36" s="158" t="e">
        <f t="shared" si="22"/>
        <v>#DIV/0!</v>
      </c>
      <c r="BM36" s="227"/>
      <c r="BN36" s="227"/>
      <c r="BO36" s="227"/>
      <c r="BP36" s="227"/>
      <c r="BQ36" s="227"/>
      <c r="BR36" s="228" t="str">
        <f t="shared" si="17"/>
        <v> </v>
      </c>
      <c r="BS36" s="228"/>
      <c r="BT36" s="158"/>
      <c r="BU36" s="158"/>
      <c r="BV36" s="158"/>
      <c r="BW36" s="158"/>
      <c r="BX36" s="158"/>
      <c r="BY36" s="227"/>
      <c r="BZ36" s="158" t="e">
        <f t="shared" si="18"/>
        <v>#DIV/0!</v>
      </c>
      <c r="CA36" s="171" t="str">
        <f t="shared" si="19"/>
        <v> </v>
      </c>
      <c r="CB36" s="171"/>
      <c r="CC36" s="171"/>
      <c r="CD36" s="171"/>
      <c r="CE36" s="171"/>
      <c r="CF36" s="171"/>
      <c r="CG36" s="171"/>
      <c r="CH36" s="171"/>
      <c r="CI36" s="171"/>
      <c r="CJ36" s="158" t="e">
        <f t="shared" si="20"/>
        <v>#DIV/0!</v>
      </c>
      <c r="CK36" s="235"/>
      <c r="CL36" s="235"/>
      <c r="CM36" s="235"/>
      <c r="CN36" s="235"/>
      <c r="CO36" s="227"/>
      <c r="CP36" s="227"/>
      <c r="CQ36" s="227"/>
      <c r="CR36" s="227"/>
      <c r="CS36" s="228"/>
      <c r="CT36" s="228"/>
      <c r="CU36" s="228"/>
      <c r="CV36" s="228"/>
      <c r="CZ36">
        <f t="shared" si="10"/>
        <v>0</v>
      </c>
    </row>
    <row r="37" spans="1:100">
      <c r="A37" s="137">
        <v>31</v>
      </c>
      <c r="B37" s="138"/>
      <c r="C37" s="139"/>
      <c r="D37" s="139"/>
      <c r="E37" s="148"/>
      <c r="F37" s="148"/>
      <c r="G37" s="148"/>
      <c r="H37" s="148"/>
      <c r="I37" s="148"/>
      <c r="J37" s="159"/>
      <c r="K37" s="159"/>
      <c r="L37" s="159"/>
      <c r="M37" s="159"/>
      <c r="N37" s="159"/>
      <c r="O37" s="159"/>
      <c r="P37" s="159"/>
      <c r="Q37" s="159"/>
      <c r="R37" s="159"/>
      <c r="S37" s="170"/>
      <c r="T37" s="170"/>
      <c r="U37" s="170"/>
      <c r="V37" s="170"/>
      <c r="W37" s="148"/>
      <c r="X37" s="170"/>
      <c r="Y37" s="170"/>
      <c r="Z37" s="159"/>
      <c r="AA37" s="195"/>
      <c r="AB37" s="189"/>
      <c r="AC37" s="189"/>
      <c r="AD37" s="189"/>
      <c r="AE37" s="195"/>
      <c r="AF37" s="139"/>
      <c r="AG37" s="148"/>
      <c r="AH37" s="148"/>
      <c r="AI37" s="148"/>
      <c r="AJ37" s="148"/>
      <c r="AK37" s="148"/>
      <c r="AL37" s="148"/>
      <c r="AM37" s="139"/>
      <c r="AN37" s="159" t="str">
        <f t="shared" si="12"/>
        <v> </v>
      </c>
      <c r="AO37" s="159"/>
      <c r="AP37" s="159"/>
      <c r="AQ37" s="159"/>
      <c r="AR37" s="159"/>
      <c r="AS37" s="159"/>
      <c r="AT37" s="159"/>
      <c r="AU37" s="159" t="e">
        <f t="shared" si="14"/>
        <v>#DIV/0!</v>
      </c>
      <c r="AV37" s="171" t="str">
        <f t="shared" si="15"/>
        <v> </v>
      </c>
      <c r="AW37" s="170"/>
      <c r="AX37" s="170"/>
      <c r="AY37" s="170"/>
      <c r="AZ37" s="170"/>
      <c r="BA37" s="170"/>
      <c r="BB37" s="170"/>
      <c r="BC37" s="170"/>
      <c r="BD37" s="170"/>
      <c r="BE37" s="195"/>
      <c r="BF37" s="189"/>
      <c r="BG37" s="189"/>
      <c r="BH37" s="189"/>
      <c r="BI37" s="189"/>
      <c r="BJ37" s="189"/>
      <c r="BK37" s="195"/>
      <c r="BL37" s="229"/>
      <c r="BM37" s="148"/>
      <c r="BN37" s="148"/>
      <c r="BO37" s="148"/>
      <c r="BP37" s="148"/>
      <c r="BQ37" s="148"/>
      <c r="BR37" s="159" t="str">
        <f t="shared" si="17"/>
        <v> </v>
      </c>
      <c r="BS37" s="159"/>
      <c r="BT37" s="159"/>
      <c r="BU37" s="159"/>
      <c r="BV37" s="159"/>
      <c r="BW37" s="159"/>
      <c r="BX37" s="159"/>
      <c r="BY37" s="159"/>
      <c r="BZ37" s="159"/>
      <c r="CA37" s="170"/>
      <c r="CB37" s="170"/>
      <c r="CC37" s="170"/>
      <c r="CD37" s="170"/>
      <c r="CE37" s="170"/>
      <c r="CF37" s="170"/>
      <c r="CG37" s="170"/>
      <c r="CH37" s="170"/>
      <c r="CI37" s="170"/>
      <c r="CJ37" s="170"/>
      <c r="CK37" s="195"/>
      <c r="CL37" s="189"/>
      <c r="CM37" s="189"/>
      <c r="CN37" s="195"/>
      <c r="CO37" s="148"/>
      <c r="CP37" s="148"/>
      <c r="CQ37" s="148"/>
      <c r="CR37" s="148"/>
      <c r="CS37" s="159"/>
      <c r="CT37" s="159"/>
      <c r="CU37" s="159"/>
      <c r="CV37" s="159"/>
    </row>
    <row r="38" spans="1:100">
      <c r="A38" s="137">
        <v>32</v>
      </c>
      <c r="B38" s="138"/>
      <c r="C38" s="148"/>
      <c r="D38" s="139"/>
      <c r="E38" s="148"/>
      <c r="F38" s="148"/>
      <c r="G38" s="148"/>
      <c r="H38" s="148"/>
      <c r="I38" s="148"/>
      <c r="J38" s="159"/>
      <c r="K38" s="159"/>
      <c r="L38" s="159"/>
      <c r="M38" s="159"/>
      <c r="N38" s="159"/>
      <c r="O38" s="159"/>
      <c r="P38" s="159"/>
      <c r="Q38" s="159"/>
      <c r="R38" s="159"/>
      <c r="S38" s="170"/>
      <c r="T38" s="170"/>
      <c r="U38" s="170"/>
      <c r="V38" s="170"/>
      <c r="W38" s="148"/>
      <c r="X38" s="170"/>
      <c r="Y38" s="170"/>
      <c r="Z38" s="170"/>
      <c r="AA38" s="189"/>
      <c r="AB38" s="189"/>
      <c r="AC38" s="189"/>
      <c r="AD38" s="189"/>
      <c r="AE38" s="195"/>
      <c r="AF38" s="148"/>
      <c r="AG38" s="148"/>
      <c r="AH38" s="148"/>
      <c r="AI38" s="148"/>
      <c r="AJ38" s="148"/>
      <c r="AK38" s="148"/>
      <c r="AL38" s="211"/>
      <c r="AM38" s="212"/>
      <c r="AN38" s="159"/>
      <c r="AO38" s="159" t="s">
        <v>108</v>
      </c>
      <c r="AP38" s="159" t="s">
        <v>108</v>
      </c>
      <c r="AQ38" s="159" t="s">
        <v>109</v>
      </c>
      <c r="AR38" s="159" t="s">
        <v>110</v>
      </c>
      <c r="AS38" s="159"/>
      <c r="AT38" s="159"/>
      <c r="AU38" s="159"/>
      <c r="AV38" s="170"/>
      <c r="AW38" s="170"/>
      <c r="AX38" s="170"/>
      <c r="AY38" s="170" t="s">
        <v>109</v>
      </c>
      <c r="AZ38" s="170"/>
      <c r="BA38" s="170"/>
      <c r="BB38" s="170"/>
      <c r="BC38" s="170"/>
      <c r="BD38" s="170"/>
      <c r="BE38" s="189"/>
      <c r="BF38" s="189"/>
      <c r="BG38" s="189"/>
      <c r="BH38" s="189"/>
      <c r="BI38" s="189"/>
      <c r="BJ38" s="189"/>
      <c r="BK38" s="195"/>
      <c r="BL38" s="229"/>
      <c r="BM38" s="148"/>
      <c r="BN38" s="148"/>
      <c r="BO38" s="148"/>
      <c r="BP38" s="148"/>
      <c r="BQ38" s="148"/>
      <c r="BR38" s="159"/>
      <c r="BS38" s="159"/>
      <c r="BT38" s="159"/>
      <c r="BU38" s="159"/>
      <c r="BV38" s="159"/>
      <c r="BW38" s="159"/>
      <c r="BX38" s="159"/>
      <c r="BY38" s="159"/>
      <c r="BZ38" s="159"/>
      <c r="CA38" s="170"/>
      <c r="CB38" s="170"/>
      <c r="CC38" s="170"/>
      <c r="CD38" s="170"/>
      <c r="CE38" s="170"/>
      <c r="CF38" s="170"/>
      <c r="CG38" s="170"/>
      <c r="CH38" s="170"/>
      <c r="CI38" s="170"/>
      <c r="CJ38" s="170"/>
      <c r="CK38" s="189"/>
      <c r="CL38" s="189"/>
      <c r="CM38" s="189"/>
      <c r="CN38" s="195"/>
      <c r="CO38" s="148"/>
      <c r="CP38" s="148"/>
      <c r="CQ38" s="148"/>
      <c r="CR38" s="148"/>
      <c r="CS38" s="159"/>
      <c r="CT38" s="159"/>
      <c r="CU38" s="159"/>
      <c r="CV38" s="159"/>
    </row>
    <row r="39" spans="1:100">
      <c r="A39" s="137">
        <v>33</v>
      </c>
      <c r="B39" s="138"/>
      <c r="C39" s="148"/>
      <c r="D39" s="139"/>
      <c r="E39" s="148"/>
      <c r="F39" s="148"/>
      <c r="G39" s="148"/>
      <c r="H39" s="148"/>
      <c r="I39" s="148"/>
      <c r="J39" s="159"/>
      <c r="K39" s="159"/>
      <c r="L39" s="159"/>
      <c r="M39" s="159"/>
      <c r="N39" s="159"/>
      <c r="O39" s="159"/>
      <c r="P39" s="159"/>
      <c r="Q39" s="159"/>
      <c r="R39" s="159"/>
      <c r="S39" s="170"/>
      <c r="T39" s="170"/>
      <c r="U39" s="170"/>
      <c r="V39" s="170"/>
      <c r="W39" s="148"/>
      <c r="X39" s="170"/>
      <c r="Y39" s="170"/>
      <c r="Z39" s="170"/>
      <c r="AA39" s="195"/>
      <c r="AB39" s="195"/>
      <c r="AC39" s="195"/>
      <c r="AD39" s="195"/>
      <c r="AE39" s="195"/>
      <c r="AF39" s="148"/>
      <c r="AG39" s="148"/>
      <c r="AH39" s="148"/>
      <c r="AI39" s="148"/>
      <c r="AJ39" s="148"/>
      <c r="AK39" s="148"/>
      <c r="AL39" s="211"/>
      <c r="AM39" s="212"/>
      <c r="AN39" s="159"/>
      <c r="AO39" s="159" t="s">
        <v>111</v>
      </c>
      <c r="AP39" s="159" t="s">
        <v>112</v>
      </c>
      <c r="AQ39" s="159" t="s">
        <v>111</v>
      </c>
      <c r="AR39" s="159" t="s">
        <v>111</v>
      </c>
      <c r="AS39" s="159"/>
      <c r="AT39" s="159"/>
      <c r="AU39" s="159"/>
      <c r="AV39" s="170"/>
      <c r="AW39" s="170"/>
      <c r="AX39" s="170"/>
      <c r="AY39" s="170" t="s">
        <v>113</v>
      </c>
      <c r="AZ39" s="170"/>
      <c r="BA39" s="170"/>
      <c r="BB39" s="170"/>
      <c r="BC39" s="170"/>
      <c r="BD39" s="170"/>
      <c r="BE39" s="195"/>
      <c r="BF39" s="195"/>
      <c r="BG39" s="195"/>
      <c r="BH39" s="195"/>
      <c r="BI39" s="195"/>
      <c r="BJ39" s="195"/>
      <c r="BK39" s="195"/>
      <c r="BL39" s="229"/>
      <c r="BM39" s="148"/>
      <c r="BN39" s="148"/>
      <c r="BO39" s="148"/>
      <c r="BP39" s="148"/>
      <c r="BQ39" s="148"/>
      <c r="BR39" s="159"/>
      <c r="BS39" s="159"/>
      <c r="BT39" s="159"/>
      <c r="BU39" s="159"/>
      <c r="BV39" s="159"/>
      <c r="BW39" s="159"/>
      <c r="BX39" s="159"/>
      <c r="BY39" s="159"/>
      <c r="BZ39" s="159"/>
      <c r="CA39" s="170"/>
      <c r="CB39" s="170"/>
      <c r="CC39" s="170"/>
      <c r="CD39" s="170"/>
      <c r="CE39" s="170"/>
      <c r="CF39" s="170"/>
      <c r="CG39" s="170"/>
      <c r="CH39" s="170"/>
      <c r="CI39" s="170"/>
      <c r="CJ39" s="170"/>
      <c r="CK39" s="195"/>
      <c r="CL39" s="195"/>
      <c r="CM39" s="195"/>
      <c r="CN39" s="195"/>
      <c r="CO39" s="148"/>
      <c r="CP39" s="148"/>
      <c r="CQ39" s="148"/>
      <c r="CR39" s="148"/>
      <c r="CS39" s="159"/>
      <c r="CT39" s="159"/>
      <c r="CU39" s="159"/>
      <c r="CV39" s="159"/>
    </row>
    <row r="40" spans="1:100">
      <c r="A40" s="137">
        <v>34</v>
      </c>
      <c r="B40" s="138"/>
      <c r="C40" s="148"/>
      <c r="D40" s="139"/>
      <c r="E40" s="148"/>
      <c r="F40" s="148"/>
      <c r="G40" s="148"/>
      <c r="H40" s="148"/>
      <c r="I40" s="148"/>
      <c r="J40" s="159"/>
      <c r="K40" s="159"/>
      <c r="L40" s="159"/>
      <c r="M40" s="159"/>
      <c r="N40" s="159"/>
      <c r="O40" s="159"/>
      <c r="P40" s="159"/>
      <c r="Q40" s="159"/>
      <c r="R40" s="159"/>
      <c r="S40" s="170"/>
      <c r="T40" s="170"/>
      <c r="U40" s="170"/>
      <c r="V40" s="170"/>
      <c r="W40" s="148"/>
      <c r="X40" s="170"/>
      <c r="Y40" s="170"/>
      <c r="Z40" s="170"/>
      <c r="AA40" s="189"/>
      <c r="AB40" s="189"/>
      <c r="AC40" s="189"/>
      <c r="AD40" s="189"/>
      <c r="AE40" s="195"/>
      <c r="AF40" s="148"/>
      <c r="AG40" s="148"/>
      <c r="AH40" s="148"/>
      <c r="AI40" s="148"/>
      <c r="AJ40" s="148"/>
      <c r="AK40" s="148"/>
      <c r="AL40" s="211"/>
      <c r="AM40" s="212"/>
      <c r="AN40" s="159"/>
      <c r="AO40" s="159"/>
      <c r="AP40" s="159" t="s">
        <v>111</v>
      </c>
      <c r="AQ40" s="159" t="s">
        <v>114</v>
      </c>
      <c r="AR40" s="159"/>
      <c r="AS40" s="159"/>
      <c r="AT40" s="159"/>
      <c r="AU40" s="159"/>
      <c r="AV40" s="170"/>
      <c r="AW40" s="170"/>
      <c r="AX40" s="170"/>
      <c r="AY40" s="170" t="s">
        <v>115</v>
      </c>
      <c r="AZ40" s="170"/>
      <c r="BA40" s="170"/>
      <c r="BB40" s="170"/>
      <c r="BC40" s="170"/>
      <c r="BD40" s="170"/>
      <c r="BE40" s="189"/>
      <c r="BF40" s="189"/>
      <c r="BG40" s="189"/>
      <c r="BH40" s="189"/>
      <c r="BI40" s="189"/>
      <c r="BJ40" s="189"/>
      <c r="BK40" s="195"/>
      <c r="BL40" s="229"/>
      <c r="BM40" s="148"/>
      <c r="BN40" s="148"/>
      <c r="BO40" s="148"/>
      <c r="BP40" s="148"/>
      <c r="BQ40" s="211"/>
      <c r="BR40" s="159"/>
      <c r="BS40" s="159"/>
      <c r="BT40" s="159"/>
      <c r="BU40" s="159"/>
      <c r="BV40" s="159"/>
      <c r="BW40" s="159"/>
      <c r="BX40" s="159"/>
      <c r="BY40" s="159"/>
      <c r="BZ40" s="159"/>
      <c r="CA40" s="170"/>
      <c r="CB40" s="170"/>
      <c r="CC40" s="170"/>
      <c r="CD40" s="170"/>
      <c r="CE40" s="170"/>
      <c r="CF40" s="170"/>
      <c r="CG40" s="170"/>
      <c r="CH40" s="170"/>
      <c r="CI40" s="170"/>
      <c r="CJ40" s="170"/>
      <c r="CK40" s="189"/>
      <c r="CL40" s="189"/>
      <c r="CM40" s="189"/>
      <c r="CN40" s="195"/>
      <c r="CO40" s="148"/>
      <c r="CP40" s="148"/>
      <c r="CQ40" s="148"/>
      <c r="CR40" s="211"/>
      <c r="CS40" s="159"/>
      <c r="CT40" s="159"/>
      <c r="CU40" s="159"/>
      <c r="CV40" s="159"/>
    </row>
    <row r="41" spans="1:100">
      <c r="A41" s="137">
        <v>35</v>
      </c>
      <c r="B41" s="138"/>
      <c r="C41" s="148"/>
      <c r="D41" s="139"/>
      <c r="E41" s="148"/>
      <c r="F41" s="148"/>
      <c r="G41" s="148"/>
      <c r="H41" s="148"/>
      <c r="I41" s="148"/>
      <c r="J41" s="159"/>
      <c r="K41" s="159"/>
      <c r="L41" s="159"/>
      <c r="M41" s="159"/>
      <c r="N41" s="159"/>
      <c r="O41" s="159"/>
      <c r="P41" s="159"/>
      <c r="Q41" s="159"/>
      <c r="R41" s="159"/>
      <c r="S41" s="170"/>
      <c r="T41" s="170"/>
      <c r="U41" s="170"/>
      <c r="V41" s="170"/>
      <c r="W41" s="148"/>
      <c r="X41" s="170"/>
      <c r="Y41" s="170"/>
      <c r="Z41" s="170"/>
      <c r="AA41" s="189"/>
      <c r="AB41" s="189"/>
      <c r="AC41" s="189"/>
      <c r="AD41" s="189"/>
      <c r="AE41" s="195"/>
      <c r="AF41" s="148"/>
      <c r="AG41" s="148"/>
      <c r="AH41" s="148"/>
      <c r="AI41" s="148"/>
      <c r="AJ41" s="148"/>
      <c r="AK41" s="148"/>
      <c r="AL41" s="211"/>
      <c r="AM41" s="212"/>
      <c r="AN41" s="159"/>
      <c r="AO41" s="159"/>
      <c r="AP41" s="159"/>
      <c r="AQ41" s="159"/>
      <c r="AR41" s="159"/>
      <c r="AS41" s="159"/>
      <c r="AT41" s="159"/>
      <c r="AU41" s="159"/>
      <c r="AV41" s="170"/>
      <c r="AW41" s="170"/>
      <c r="AX41" s="170"/>
      <c r="AY41" s="170"/>
      <c r="AZ41" s="170"/>
      <c r="BA41" s="170"/>
      <c r="BB41" s="170"/>
      <c r="BC41" s="170"/>
      <c r="BD41" s="170"/>
      <c r="BE41" s="189"/>
      <c r="BF41" s="189"/>
      <c r="BG41" s="189"/>
      <c r="BH41" s="189"/>
      <c r="BI41" s="189"/>
      <c r="BJ41" s="189"/>
      <c r="BK41" s="195"/>
      <c r="BL41" s="229"/>
      <c r="BM41" s="148"/>
      <c r="BN41" s="148"/>
      <c r="BO41" s="148"/>
      <c r="BP41" s="148"/>
      <c r="BQ41" s="211"/>
      <c r="BR41" s="159"/>
      <c r="BS41" s="159"/>
      <c r="BT41" s="159"/>
      <c r="BU41" s="159"/>
      <c r="BV41" s="159"/>
      <c r="BW41" s="159"/>
      <c r="BX41" s="159"/>
      <c r="BY41" s="159"/>
      <c r="BZ41" s="159"/>
      <c r="CA41" s="170"/>
      <c r="CB41" s="170"/>
      <c r="CC41" s="170"/>
      <c r="CD41" s="170"/>
      <c r="CE41" s="170"/>
      <c r="CF41" s="170"/>
      <c r="CG41" s="170"/>
      <c r="CH41" s="170"/>
      <c r="CI41" s="170"/>
      <c r="CJ41" s="170"/>
      <c r="CK41" s="189"/>
      <c r="CL41" s="189"/>
      <c r="CM41" s="189"/>
      <c r="CN41" s="195"/>
      <c r="CO41" s="148"/>
      <c r="CP41" s="148"/>
      <c r="CQ41" s="148"/>
      <c r="CR41" s="211"/>
      <c r="CS41" s="159"/>
      <c r="CT41" s="159"/>
      <c r="CU41" s="159"/>
      <c r="CV41" s="159"/>
    </row>
    <row r="42" spans="1:100">
      <c r="A42" s="137">
        <v>36</v>
      </c>
      <c r="B42" s="138"/>
      <c r="C42" s="148"/>
      <c r="D42" s="139"/>
      <c r="E42" s="148"/>
      <c r="F42" s="148"/>
      <c r="G42" s="148"/>
      <c r="H42" s="148"/>
      <c r="I42" s="148"/>
      <c r="J42" s="159"/>
      <c r="K42" s="159"/>
      <c r="L42" s="159"/>
      <c r="M42" s="159"/>
      <c r="N42" s="159"/>
      <c r="O42" s="159"/>
      <c r="P42" s="159"/>
      <c r="Q42" s="159"/>
      <c r="R42" s="159"/>
      <c r="S42" s="170"/>
      <c r="T42" s="170"/>
      <c r="U42" s="170"/>
      <c r="V42" s="170"/>
      <c r="W42" s="148"/>
      <c r="X42" s="170"/>
      <c r="Y42" s="170"/>
      <c r="Z42" s="170"/>
      <c r="AA42" s="189"/>
      <c r="AB42" s="189"/>
      <c r="AC42" s="189"/>
      <c r="AD42" s="189"/>
      <c r="AE42" s="195"/>
      <c r="AF42" s="148"/>
      <c r="AG42" s="148"/>
      <c r="AH42" s="148"/>
      <c r="AI42" s="148"/>
      <c r="AJ42" s="148"/>
      <c r="AK42" s="148"/>
      <c r="AL42" s="211"/>
      <c r="AM42" s="212"/>
      <c r="AN42" s="159"/>
      <c r="AO42" s="159"/>
      <c r="AP42" s="159"/>
      <c r="AQ42" s="159"/>
      <c r="AR42" s="159"/>
      <c r="AS42" s="159"/>
      <c r="AT42" s="159"/>
      <c r="AU42" s="159"/>
      <c r="AV42" s="170"/>
      <c r="AW42" s="170"/>
      <c r="AX42" s="170"/>
      <c r="AY42" s="170"/>
      <c r="AZ42" s="170"/>
      <c r="BA42" s="170"/>
      <c r="BB42" s="170"/>
      <c r="BC42" s="170"/>
      <c r="BD42" s="170"/>
      <c r="BE42" s="189"/>
      <c r="BF42" s="189"/>
      <c r="BG42" s="189"/>
      <c r="BH42" s="189"/>
      <c r="BI42" s="189"/>
      <c r="BJ42" s="189"/>
      <c r="BK42" s="195"/>
      <c r="BL42" s="229"/>
      <c r="BM42" s="148"/>
      <c r="BN42" s="148"/>
      <c r="BO42" s="148"/>
      <c r="BP42" s="148"/>
      <c r="BQ42" s="211"/>
      <c r="BR42" s="159"/>
      <c r="BS42" s="159"/>
      <c r="BT42" s="159"/>
      <c r="BU42" s="159"/>
      <c r="BV42" s="159"/>
      <c r="BW42" s="159"/>
      <c r="BX42" s="159"/>
      <c r="BY42" s="159"/>
      <c r="BZ42" s="159"/>
      <c r="CA42" s="170"/>
      <c r="CB42" s="170"/>
      <c r="CC42" s="170"/>
      <c r="CD42" s="170"/>
      <c r="CE42" s="170"/>
      <c r="CF42" s="170"/>
      <c r="CG42" s="170"/>
      <c r="CH42" s="170"/>
      <c r="CI42" s="170"/>
      <c r="CJ42" s="170"/>
      <c r="CK42" s="189"/>
      <c r="CL42" s="189"/>
      <c r="CM42" s="189"/>
      <c r="CN42" s="195"/>
      <c r="CO42" s="148"/>
      <c r="CP42" s="148"/>
      <c r="CQ42" s="148"/>
      <c r="CR42" s="211"/>
      <c r="CS42" s="159"/>
      <c r="CT42" s="159"/>
      <c r="CU42" s="159"/>
      <c r="CV42" s="159"/>
    </row>
    <row r="43" spans="1:100">
      <c r="A43" s="137">
        <v>37</v>
      </c>
      <c r="B43" s="138"/>
      <c r="C43" s="148"/>
      <c r="D43" s="139"/>
      <c r="E43" s="148"/>
      <c r="F43" s="148"/>
      <c r="G43" s="148"/>
      <c r="H43" s="148"/>
      <c r="I43" s="148"/>
      <c r="J43" s="159"/>
      <c r="K43" s="159"/>
      <c r="L43" s="159"/>
      <c r="M43" s="159"/>
      <c r="N43" s="159"/>
      <c r="O43" s="159"/>
      <c r="P43" s="159"/>
      <c r="Q43" s="159"/>
      <c r="R43" s="159"/>
      <c r="S43" s="170"/>
      <c r="T43" s="170"/>
      <c r="U43" s="170"/>
      <c r="V43" s="170"/>
      <c r="W43" s="148"/>
      <c r="X43" s="170"/>
      <c r="Y43" s="170"/>
      <c r="Z43" s="170"/>
      <c r="AA43" s="189"/>
      <c r="AB43" s="189"/>
      <c r="AC43" s="189"/>
      <c r="AD43" s="189"/>
      <c r="AE43" s="195"/>
      <c r="AF43" s="148"/>
      <c r="AG43" s="148"/>
      <c r="AH43" s="148"/>
      <c r="AI43" s="148"/>
      <c r="AJ43" s="148"/>
      <c r="AK43" s="148"/>
      <c r="AL43" s="211"/>
      <c r="AM43" s="212"/>
      <c r="AN43" s="159"/>
      <c r="AO43" s="159"/>
      <c r="AP43" s="159"/>
      <c r="AQ43" s="159"/>
      <c r="AR43" s="159"/>
      <c r="AS43" s="159"/>
      <c r="AT43" s="159"/>
      <c r="AU43" s="159"/>
      <c r="AV43" s="170"/>
      <c r="AW43" s="170"/>
      <c r="AX43" s="170"/>
      <c r="AY43" s="170"/>
      <c r="AZ43" s="170"/>
      <c r="BA43" s="170"/>
      <c r="BB43" s="170"/>
      <c r="BC43" s="170"/>
      <c r="BD43" s="170"/>
      <c r="BE43" s="189"/>
      <c r="BF43" s="189"/>
      <c r="BG43" s="189"/>
      <c r="BH43" s="189"/>
      <c r="BI43" s="189"/>
      <c r="BJ43" s="189"/>
      <c r="BK43" s="195"/>
      <c r="BL43" s="229"/>
      <c r="BM43" s="148"/>
      <c r="BN43" s="148"/>
      <c r="BO43" s="148"/>
      <c r="BP43" s="148"/>
      <c r="BQ43" s="211"/>
      <c r="BR43" s="159"/>
      <c r="BS43" s="159"/>
      <c r="BT43" s="159"/>
      <c r="BU43" s="159"/>
      <c r="BV43" s="159"/>
      <c r="BW43" s="159"/>
      <c r="BX43" s="159"/>
      <c r="BY43" s="159"/>
      <c r="BZ43" s="159"/>
      <c r="CA43" s="170"/>
      <c r="CB43" s="170"/>
      <c r="CC43" s="170"/>
      <c r="CD43" s="170"/>
      <c r="CE43" s="170"/>
      <c r="CF43" s="170"/>
      <c r="CG43" s="170"/>
      <c r="CH43" s="170"/>
      <c r="CI43" s="170"/>
      <c r="CJ43" s="170"/>
      <c r="CK43" s="189"/>
      <c r="CL43" s="189"/>
      <c r="CM43" s="189"/>
      <c r="CN43" s="195"/>
      <c r="CO43" s="148"/>
      <c r="CP43" s="148"/>
      <c r="CQ43" s="148"/>
      <c r="CR43" s="211"/>
      <c r="CS43" s="159"/>
      <c r="CT43" s="159"/>
      <c r="CU43" s="159"/>
      <c r="CV43" s="159"/>
    </row>
    <row r="44" spans="1:100">
      <c r="A44" s="137"/>
      <c r="B44" s="149"/>
      <c r="C44" s="148"/>
      <c r="D44" s="148"/>
      <c r="E44" s="148"/>
      <c r="F44" s="148"/>
      <c r="G44" s="148"/>
      <c r="H44" s="148"/>
      <c r="I44" s="148"/>
      <c r="J44" s="159"/>
      <c r="K44" s="159"/>
      <c r="L44" s="159"/>
      <c r="M44" s="159"/>
      <c r="N44" s="159"/>
      <c r="O44" s="159"/>
      <c r="P44" s="159"/>
      <c r="Q44" s="159"/>
      <c r="R44" s="159"/>
      <c r="S44" s="170"/>
      <c r="T44" s="170"/>
      <c r="U44" s="170"/>
      <c r="V44" s="170"/>
      <c r="W44" s="148"/>
      <c r="X44" s="170"/>
      <c r="Y44" s="170"/>
      <c r="Z44" s="170"/>
      <c r="AA44" s="189"/>
      <c r="AB44" s="189"/>
      <c r="AC44" s="189"/>
      <c r="AD44" s="189"/>
      <c r="AE44" s="195"/>
      <c r="AF44" s="148"/>
      <c r="AG44" s="148"/>
      <c r="AH44" s="148"/>
      <c r="AI44" s="148"/>
      <c r="AJ44" s="148"/>
      <c r="AK44" s="148"/>
      <c r="AL44" s="211"/>
      <c r="AM44" s="212"/>
      <c r="AN44" s="159"/>
      <c r="AO44" s="159"/>
      <c r="AP44" s="159"/>
      <c r="AQ44" s="159"/>
      <c r="AR44" s="159"/>
      <c r="AS44" s="159"/>
      <c r="AT44" s="159"/>
      <c r="AU44" s="159"/>
      <c r="AV44" s="170"/>
      <c r="AW44" s="170"/>
      <c r="AX44" s="170"/>
      <c r="AY44" s="170"/>
      <c r="AZ44" s="170"/>
      <c r="BA44" s="170"/>
      <c r="BB44" s="170"/>
      <c r="BC44" s="170"/>
      <c r="BD44" s="170"/>
      <c r="BE44" s="189"/>
      <c r="BF44" s="189"/>
      <c r="BG44" s="189"/>
      <c r="BH44" s="189"/>
      <c r="BI44" s="189"/>
      <c r="BJ44" s="189"/>
      <c r="BK44" s="195"/>
      <c r="BL44" s="229"/>
      <c r="BM44" s="148"/>
      <c r="BN44" s="148"/>
      <c r="BO44" s="148"/>
      <c r="BP44" s="148"/>
      <c r="BQ44" s="211"/>
      <c r="BR44" s="159"/>
      <c r="BS44" s="159"/>
      <c r="BT44" s="159"/>
      <c r="BU44" s="159"/>
      <c r="BV44" s="159"/>
      <c r="BW44" s="159"/>
      <c r="BX44" s="159"/>
      <c r="BY44" s="159"/>
      <c r="BZ44" s="159"/>
      <c r="CA44" s="170"/>
      <c r="CB44" s="170"/>
      <c r="CC44" s="170"/>
      <c r="CD44" s="170"/>
      <c r="CE44" s="170"/>
      <c r="CF44" s="170"/>
      <c r="CG44" s="170"/>
      <c r="CH44" s="170"/>
      <c r="CI44" s="170"/>
      <c r="CJ44" s="170"/>
      <c r="CK44" s="189"/>
      <c r="CL44" s="189"/>
      <c r="CM44" s="189"/>
      <c r="CN44" s="195"/>
      <c r="CO44" s="148"/>
      <c r="CP44" s="148"/>
      <c r="CQ44" s="148"/>
      <c r="CR44" s="211"/>
      <c r="CS44" s="159"/>
      <c r="CT44" s="159"/>
      <c r="CU44" s="159"/>
      <c r="CV44" s="159"/>
    </row>
    <row r="45" ht="15" spans="1:100">
      <c r="A45" s="137"/>
      <c r="B45" s="150"/>
      <c r="C45" s="151">
        <f>COUNTIF(C6:C40,"OK")</f>
        <v>0</v>
      </c>
      <c r="D45" s="151">
        <f>COUNTIF(D6:D40,"OK")</f>
        <v>0</v>
      </c>
      <c r="E45" s="151"/>
      <c r="F45" s="151"/>
      <c r="G45" s="151"/>
      <c r="H45" s="151"/>
      <c r="I45" s="151"/>
      <c r="J45" s="151">
        <f>COUNTIF(J6:J40,"OK")</f>
        <v>0</v>
      </c>
      <c r="K45" s="151"/>
      <c r="L45" s="151"/>
      <c r="M45" s="151"/>
      <c r="N45" s="151"/>
      <c r="O45" s="151"/>
      <c r="P45" s="151">
        <f>COUNTIF(P6:P40,"OK")</f>
        <v>0</v>
      </c>
      <c r="Q45" s="151">
        <f>COUNTIF(Q6:Q40,"OK")</f>
        <v>0</v>
      </c>
      <c r="R45" s="151"/>
      <c r="S45" s="151">
        <f>COUNTIF(S6:S40,"OK")</f>
        <v>0</v>
      </c>
      <c r="T45" s="151"/>
      <c r="U45" s="151">
        <f>COUNTIF(U6:U40,"OK")</f>
        <v>0</v>
      </c>
      <c r="V45" s="151"/>
      <c r="W45" s="151"/>
      <c r="X45" s="151"/>
      <c r="Y45" s="151"/>
      <c r="Z45" s="151">
        <f>COUNTIF(Z6:Z40,"OK")</f>
        <v>0</v>
      </c>
      <c r="AA45" s="151">
        <f>COUNTIF(AA6:AA40,"OK")</f>
        <v>0</v>
      </c>
      <c r="AB45" s="151">
        <f>COUNTIF(AB6:AB40,"OK")</f>
        <v>0</v>
      </c>
      <c r="AC45" s="151"/>
      <c r="AD45" s="151"/>
      <c r="AE45" s="205">
        <f>COUNTIF(AE6:AE40,"OK")</f>
        <v>0</v>
      </c>
      <c r="AF45" s="151">
        <f>COUNTIF(AF6:AF40,"OK")</f>
        <v>0</v>
      </c>
      <c r="AG45" s="151">
        <f>COUNTIF(AG6:AG40,"OK")</f>
        <v>0</v>
      </c>
      <c r="AH45" s="151"/>
      <c r="AI45" s="151"/>
      <c r="AJ45" s="151"/>
      <c r="AK45" s="151"/>
      <c r="AL45" s="151">
        <f>COUNTIF(AL6:AL40,"OK")</f>
        <v>0</v>
      </c>
      <c r="AM45" s="151"/>
      <c r="AN45" s="151">
        <f>COUNTIF(AN6:AN40,"OK")</f>
        <v>0</v>
      </c>
      <c r="AO45" s="151">
        <f>COUNTIF(AO6:AO40,"OK")</f>
        <v>0</v>
      </c>
      <c r="AP45" s="151"/>
      <c r="AQ45" s="151"/>
      <c r="AR45" s="151"/>
      <c r="AS45" s="151"/>
      <c r="AT45" s="151">
        <f>COUNTIF(AT6:AT40,"OK")</f>
        <v>0</v>
      </c>
      <c r="AU45" s="151"/>
      <c r="AV45" s="151">
        <f>COUNTIF(AV6:AV40,"OK")</f>
        <v>0</v>
      </c>
      <c r="AW45" s="151">
        <f>COUNTIF(AW6:AW40,"OK")</f>
        <v>0</v>
      </c>
      <c r="AX45" s="151"/>
      <c r="AY45" s="151"/>
      <c r="AZ45" s="151"/>
      <c r="BA45" s="151">
        <f>COUNTIF(BA6:BA40,"OK")</f>
        <v>0</v>
      </c>
      <c r="BB45" s="151"/>
      <c r="BC45" s="151"/>
      <c r="BD45" s="151"/>
      <c r="BE45" s="151">
        <f>COUNTIF(BE6:BE40,"OK")</f>
        <v>0</v>
      </c>
      <c r="BF45" s="151">
        <f>COUNTIF(BF6:BF40,"OK")</f>
        <v>0</v>
      </c>
      <c r="BG45" s="151"/>
      <c r="BH45" s="151"/>
      <c r="BI45" s="151"/>
      <c r="BJ45" s="151"/>
      <c r="BK45" s="205">
        <f>COUNTIF(BK6:BK40,"OK")</f>
        <v>0</v>
      </c>
      <c r="BL45" s="205"/>
      <c r="BM45" s="151">
        <f>COUNTIF(BM6:BM40,"OK")</f>
        <v>0</v>
      </c>
      <c r="BN45" s="151">
        <f>COUNTIF(BN6:BN40,"OK")</f>
        <v>0</v>
      </c>
      <c r="BO45" s="151"/>
      <c r="BP45" s="151"/>
      <c r="BQ45" s="151">
        <f>COUNTIF(BQ6:BQ40,"OK")</f>
        <v>0</v>
      </c>
      <c r="BR45" s="151">
        <f>COUNTIF(BR6:BR40,"OK")</f>
        <v>0</v>
      </c>
      <c r="BS45" s="151">
        <f>COUNTIF(BS6:BS40,"OK")</f>
        <v>0</v>
      </c>
      <c r="BT45" s="151"/>
      <c r="BU45" s="151"/>
      <c r="BV45" s="151"/>
      <c r="BW45" s="151"/>
      <c r="BX45" s="151"/>
      <c r="BY45" s="151"/>
      <c r="BZ45" s="151">
        <f>COUNTIF(BZ6:BZ40,"OK")</f>
        <v>0</v>
      </c>
      <c r="CA45" s="151">
        <f>COUNTIF(CA6:CA40,"OK")</f>
        <v>0</v>
      </c>
      <c r="CB45" s="151"/>
      <c r="CC45" s="151"/>
      <c r="CD45" s="151">
        <f>COUNTIF(CD6:CD40,"OK")</f>
        <v>0</v>
      </c>
      <c r="CE45" s="151"/>
      <c r="CF45" s="151"/>
      <c r="CG45" s="151"/>
      <c r="CH45" s="151"/>
      <c r="CI45" s="151"/>
      <c r="CJ45" s="151">
        <f>COUNTIF(CJ6:CJ40,"OK")</f>
        <v>0</v>
      </c>
      <c r="CK45" s="151">
        <f>COUNTIF(CK6:CK40,"OK")</f>
        <v>0</v>
      </c>
      <c r="CL45" s="151">
        <f>COUNTIF(CL6:CL40,"OK")</f>
        <v>0</v>
      </c>
      <c r="CM45" s="151"/>
      <c r="CN45" s="205">
        <f>COUNTIF(CN6:CN40,"OK")</f>
        <v>0</v>
      </c>
      <c r="CO45" s="151">
        <f>COUNTIF(CO6:CO40,"OK")</f>
        <v>0</v>
      </c>
      <c r="CP45" s="151">
        <f>COUNTIF(CP6:CP40,"OK")</f>
        <v>0</v>
      </c>
      <c r="CQ45" s="151"/>
      <c r="CR45" s="151">
        <f t="shared" ref="CR45:CT45" si="26">COUNTIF(CR6:CR40,"OK")</f>
        <v>0</v>
      </c>
      <c r="CS45" s="151">
        <f t="shared" si="26"/>
        <v>0</v>
      </c>
      <c r="CT45" s="151">
        <f t="shared" si="26"/>
        <v>0</v>
      </c>
      <c r="CU45" s="151"/>
      <c r="CV45" s="151">
        <f t="shared" ref="CV45" si="27">COUNTIF(CV6:CV40,"OK")</f>
        <v>0</v>
      </c>
    </row>
    <row r="46" ht="15" spans="1:100">
      <c r="A46" s="137"/>
      <c r="B46" s="150" t="s">
        <v>116</v>
      </c>
      <c r="C46" s="151">
        <f>COUNTIF(C6:C40,"NO")</f>
        <v>0</v>
      </c>
      <c r="D46" s="151">
        <f>COUNTIF(D6:D40,"NO")</f>
        <v>0</v>
      </c>
      <c r="E46" s="151"/>
      <c r="F46" s="151"/>
      <c r="G46" s="151"/>
      <c r="H46" s="151"/>
      <c r="I46" s="151"/>
      <c r="J46" s="151">
        <f>COUNTIF(J6:J40,"NO")</f>
        <v>0</v>
      </c>
      <c r="K46" s="151"/>
      <c r="L46" s="151"/>
      <c r="M46" s="151"/>
      <c r="N46" s="151"/>
      <c r="O46" s="151"/>
      <c r="P46" s="151">
        <f>COUNTIF(P6:P40,"NO")</f>
        <v>0</v>
      </c>
      <c r="Q46" s="151">
        <f>COUNTIF(Q6:Q40,"NO")</f>
        <v>0</v>
      </c>
      <c r="R46" s="151"/>
      <c r="S46" s="151">
        <f>COUNTIF(S6:S40,"NO")</f>
        <v>0</v>
      </c>
      <c r="T46" s="151"/>
      <c r="U46" s="151">
        <f>COUNTIF(U6:U40,"NO")</f>
        <v>0</v>
      </c>
      <c r="V46" s="151"/>
      <c r="W46" s="151"/>
      <c r="X46" s="151"/>
      <c r="Y46" s="151"/>
      <c r="Z46" s="151">
        <f>COUNTIF(Z6:Z40,"NO")</f>
        <v>0</v>
      </c>
      <c r="AA46" s="151">
        <f>COUNTIF(AA6:AA40,"NO")</f>
        <v>0</v>
      </c>
      <c r="AB46" s="151">
        <f>COUNTIF(AB6:AB40,"NO")</f>
        <v>0</v>
      </c>
      <c r="AC46" s="151"/>
      <c r="AD46" s="151"/>
      <c r="AE46" s="205">
        <f>COUNTIF(AE6:AE40,"NO")</f>
        <v>0</v>
      </c>
      <c r="AF46" s="151">
        <f>COUNTIF(AF6:AF40,"NO")</f>
        <v>0</v>
      </c>
      <c r="AG46" s="151">
        <f>COUNTIF(AG6:AG40,"NO")</f>
        <v>0</v>
      </c>
      <c r="AH46" s="151"/>
      <c r="AI46" s="151"/>
      <c r="AJ46" s="151"/>
      <c r="AK46" s="151"/>
      <c r="AL46" s="151">
        <f>COUNTIF(AL6:AL40,"NO")</f>
        <v>0</v>
      </c>
      <c r="AM46" s="151"/>
      <c r="AN46" s="151">
        <f>COUNTIF(AN6:AN40,"NO")</f>
        <v>0</v>
      </c>
      <c r="AO46" s="151">
        <f>COUNTIF(AO6:AO40,"NO")</f>
        <v>0</v>
      </c>
      <c r="AP46" s="151"/>
      <c r="AQ46" s="151"/>
      <c r="AR46" s="151"/>
      <c r="AS46" s="151"/>
      <c r="AT46" s="151">
        <f>COUNTIF(AT6:AT40,"NO")</f>
        <v>0</v>
      </c>
      <c r="AU46" s="151"/>
      <c r="AV46" s="151">
        <f>COUNTIF(AV6:AV40,"NO")</f>
        <v>0</v>
      </c>
      <c r="AW46" s="151">
        <f>COUNTIF(AW6:AW40,"NO")</f>
        <v>0</v>
      </c>
      <c r="AX46" s="151"/>
      <c r="AY46" s="151"/>
      <c r="AZ46" s="151"/>
      <c r="BA46" s="151">
        <f>COUNTIF(BA6:BA40,"NO")</f>
        <v>0</v>
      </c>
      <c r="BB46" s="151"/>
      <c r="BC46" s="151"/>
      <c r="BD46" s="151"/>
      <c r="BE46" s="151">
        <f>COUNTIF(BE6:BE40,"NO")</f>
        <v>0</v>
      </c>
      <c r="BF46" s="151">
        <f>COUNTIF(BF6:BF40,"NO")</f>
        <v>0</v>
      </c>
      <c r="BG46" s="151"/>
      <c r="BH46" s="151"/>
      <c r="BI46" s="151"/>
      <c r="BJ46" s="151"/>
      <c r="BK46" s="205">
        <f>COUNTIF(BK6:BK40,"NO")</f>
        <v>0</v>
      </c>
      <c r="BL46" s="205"/>
      <c r="BM46" s="151">
        <f>COUNTIF(BM6:BM40,"NO")</f>
        <v>0</v>
      </c>
      <c r="BN46" s="151">
        <f>COUNTIF(BN6:BN40,"NO")</f>
        <v>0</v>
      </c>
      <c r="BO46" s="151"/>
      <c r="BP46" s="151"/>
      <c r="BQ46" s="151">
        <f>COUNTIF(BQ6:BQ40,"NO")</f>
        <v>0</v>
      </c>
      <c r="BR46" s="151">
        <f>COUNTIF(BR6:BR40,"NO")</f>
        <v>0</v>
      </c>
      <c r="BS46" s="151">
        <f>COUNTIF(BS6:BS40,"NO")</f>
        <v>0</v>
      </c>
      <c r="BT46" s="151"/>
      <c r="BU46" s="151"/>
      <c r="BV46" s="151"/>
      <c r="BW46" s="151"/>
      <c r="BX46" s="151"/>
      <c r="BY46" s="151"/>
      <c r="BZ46" s="151">
        <f>COUNTIF(BZ6:BZ40,"NO")</f>
        <v>0</v>
      </c>
      <c r="CA46" s="151">
        <f>COUNTIF(CA6:CA40,"NO")</f>
        <v>0</v>
      </c>
      <c r="CB46" s="151"/>
      <c r="CC46" s="151"/>
      <c r="CD46" s="151">
        <f>COUNTIF(CD6:CD40,"NO")</f>
        <v>0</v>
      </c>
      <c r="CE46" s="151"/>
      <c r="CF46" s="151"/>
      <c r="CG46" s="151"/>
      <c r="CH46" s="151"/>
      <c r="CI46" s="151"/>
      <c r="CJ46" s="151">
        <f>COUNTIF(CJ6:CJ40,"NO")</f>
        <v>0</v>
      </c>
      <c r="CK46" s="151">
        <f>COUNTIF(CK6:CK40,"NO")</f>
        <v>0</v>
      </c>
      <c r="CL46" s="151">
        <f>COUNTIF(CL6:CL40,"NO")</f>
        <v>0</v>
      </c>
      <c r="CM46" s="151"/>
      <c r="CN46" s="205">
        <f>COUNTIF(CN6:CN40,"NO")</f>
        <v>0</v>
      </c>
      <c r="CO46" s="151">
        <f>COUNTIF(CO6:CO40,"NO")</f>
        <v>0</v>
      </c>
      <c r="CP46" s="151">
        <f>COUNTIF(CP6:CP40,"NO")</f>
        <v>0</v>
      </c>
      <c r="CQ46" s="151"/>
      <c r="CR46" s="151">
        <f t="shared" ref="CR46:CT46" si="28">COUNTIF(CR6:CR40,"NO")</f>
        <v>0</v>
      </c>
      <c r="CS46" s="151">
        <f t="shared" si="28"/>
        <v>0</v>
      </c>
      <c r="CT46" s="151">
        <f t="shared" si="28"/>
        <v>0</v>
      </c>
      <c r="CU46" s="151"/>
      <c r="CV46" s="151">
        <f t="shared" ref="CV46" si="29">COUNTIF(CV6:CV40,"NO")</f>
        <v>0</v>
      </c>
    </row>
    <row r="47" ht="15" spans="1:100">
      <c r="A47" s="137"/>
      <c r="B47" s="150" t="s">
        <v>117</v>
      </c>
      <c r="C47" s="152">
        <f>SUM(C45:C46)</f>
        <v>0</v>
      </c>
      <c r="D47" s="152">
        <f>SUM(D45:D46)</f>
        <v>0</v>
      </c>
      <c r="E47" s="152"/>
      <c r="F47" s="152"/>
      <c r="G47" s="152"/>
      <c r="H47" s="152"/>
      <c r="I47" s="152"/>
      <c r="J47" s="152">
        <f>SUM(J45:J46)</f>
        <v>0</v>
      </c>
      <c r="K47" s="152"/>
      <c r="L47" s="152"/>
      <c r="M47" s="152"/>
      <c r="N47" s="152"/>
      <c r="O47" s="152"/>
      <c r="P47" s="152">
        <f>SUM(P45:P46)</f>
        <v>0</v>
      </c>
      <c r="Q47" s="152">
        <f>SUM(Q45:Q46)</f>
        <v>0</v>
      </c>
      <c r="R47" s="152"/>
      <c r="S47" s="152">
        <f>SUM(S45:S46)</f>
        <v>0</v>
      </c>
      <c r="T47" s="152"/>
      <c r="U47" s="152">
        <f>SUM(U45:U46)</f>
        <v>0</v>
      </c>
      <c r="V47" s="152"/>
      <c r="W47" s="152"/>
      <c r="X47" s="152"/>
      <c r="Y47" s="152"/>
      <c r="Z47" s="152">
        <f>SUM(Z45:Z46)</f>
        <v>0</v>
      </c>
      <c r="AA47" s="152">
        <f>SUM(AA45:AA46)</f>
        <v>0</v>
      </c>
      <c r="AB47" s="152">
        <f>SUM(AB45:AB46)</f>
        <v>0</v>
      </c>
      <c r="AC47" s="152"/>
      <c r="AD47" s="152"/>
      <c r="AE47" s="206">
        <f>SUM(AE45:AE46)</f>
        <v>0</v>
      </c>
      <c r="AF47" s="152">
        <f>SUM(AF45:AF46)</f>
        <v>0</v>
      </c>
      <c r="AG47" s="152">
        <f>SUM(AG45:AG46)</f>
        <v>0</v>
      </c>
      <c r="AH47" s="152"/>
      <c r="AI47" s="152"/>
      <c r="AJ47" s="152"/>
      <c r="AK47" s="152"/>
      <c r="AL47" s="152">
        <f>SUM(AL45:AL46)</f>
        <v>0</v>
      </c>
      <c r="AM47" s="152"/>
      <c r="AN47" s="152">
        <f>SUM(AN45:AN46)</f>
        <v>0</v>
      </c>
      <c r="AO47" s="152">
        <f>SUM(AO45:AO46)</f>
        <v>0</v>
      </c>
      <c r="AP47" s="152"/>
      <c r="AQ47" s="152"/>
      <c r="AR47" s="152"/>
      <c r="AS47" s="152"/>
      <c r="AT47" s="152">
        <f>SUM(AT45:AT46)</f>
        <v>0</v>
      </c>
      <c r="AU47" s="152"/>
      <c r="AV47" s="152">
        <f>SUM(AV45:AV46)</f>
        <v>0</v>
      </c>
      <c r="AW47" s="152">
        <f>SUM(AW45:AW46)</f>
        <v>0</v>
      </c>
      <c r="AX47" s="152"/>
      <c r="AY47" s="152"/>
      <c r="AZ47" s="152"/>
      <c r="BA47" s="152">
        <f>SUM(BA45:BA46)</f>
        <v>0</v>
      </c>
      <c r="BB47" s="152"/>
      <c r="BC47" s="152"/>
      <c r="BD47" s="152"/>
      <c r="BE47" s="152">
        <f>SUM(BE45:BE46)</f>
        <v>0</v>
      </c>
      <c r="BF47" s="152">
        <f>SUM(BF45:BF46)</f>
        <v>0</v>
      </c>
      <c r="BG47" s="152"/>
      <c r="BH47" s="152"/>
      <c r="BI47" s="152"/>
      <c r="BJ47" s="152"/>
      <c r="BK47" s="206">
        <f>SUM(BK45:BK46)</f>
        <v>0</v>
      </c>
      <c r="BL47" s="206"/>
      <c r="BM47" s="152">
        <f>SUM(BM45:BM46)</f>
        <v>0</v>
      </c>
      <c r="BN47" s="152">
        <f>SUM(BN45:BN46)</f>
        <v>0</v>
      </c>
      <c r="BO47" s="152"/>
      <c r="BP47" s="152"/>
      <c r="BQ47" s="152">
        <f>SUM(BQ45:BQ46)</f>
        <v>0</v>
      </c>
      <c r="BR47" s="152">
        <f>SUM(BR45:BR46)</f>
        <v>0</v>
      </c>
      <c r="BS47" s="152">
        <f>SUM(BS45:BS46)</f>
        <v>0</v>
      </c>
      <c r="BT47" s="152"/>
      <c r="BU47" s="152"/>
      <c r="BV47" s="152"/>
      <c r="BW47" s="152"/>
      <c r="BX47" s="152"/>
      <c r="BY47" s="152"/>
      <c r="BZ47" s="152">
        <f>SUM(BZ45:BZ46)</f>
        <v>0</v>
      </c>
      <c r="CA47" s="152">
        <f>SUM(CA45:CA46)</f>
        <v>0</v>
      </c>
      <c r="CB47" s="152"/>
      <c r="CC47" s="152"/>
      <c r="CD47" s="152">
        <f>SUM(CD45:CD46)</f>
        <v>0</v>
      </c>
      <c r="CE47" s="152"/>
      <c r="CF47" s="152"/>
      <c r="CG47" s="152"/>
      <c r="CH47" s="152"/>
      <c r="CI47" s="152"/>
      <c r="CJ47" s="152">
        <f>SUM(CJ45:CJ46)</f>
        <v>0</v>
      </c>
      <c r="CK47" s="152">
        <f>SUM(CK45:CK46)</f>
        <v>0</v>
      </c>
      <c r="CL47" s="152">
        <f>SUM(CL45:CL46)</f>
        <v>0</v>
      </c>
      <c r="CM47" s="152"/>
      <c r="CN47" s="206">
        <f>SUM(CN45:CN46)</f>
        <v>0</v>
      </c>
      <c r="CO47" s="152">
        <f>SUM(CO45:CO46)</f>
        <v>0</v>
      </c>
      <c r="CP47" s="152">
        <f>SUM(CP45:CP46)</f>
        <v>0</v>
      </c>
      <c r="CQ47" s="152"/>
      <c r="CR47" s="152">
        <f t="shared" ref="CR47:CT47" si="30">SUM(CR45:CR46)</f>
        <v>0</v>
      </c>
      <c r="CS47" s="152">
        <f t="shared" si="30"/>
        <v>0</v>
      </c>
      <c r="CT47" s="152">
        <f t="shared" si="30"/>
        <v>0</v>
      </c>
      <c r="CU47" s="152"/>
      <c r="CV47" s="152">
        <f t="shared" ref="CV47" si="31">SUM(CV45:CV46)</f>
        <v>0</v>
      </c>
    </row>
  </sheetData>
  <mergeCells count="18">
    <mergeCell ref="C4:R4"/>
    <mergeCell ref="S4:BD4"/>
    <mergeCell ref="BE4:CV4"/>
    <mergeCell ref="C5:H5"/>
    <mergeCell ref="J5:Q5"/>
    <mergeCell ref="S5:Y5"/>
    <mergeCell ref="AA5:AE5"/>
    <mergeCell ref="AF5:AL5"/>
    <mergeCell ref="AN5:AT5"/>
    <mergeCell ref="AV5:BC5"/>
    <mergeCell ref="BE5:BK5"/>
    <mergeCell ref="BM5:BQ5"/>
    <mergeCell ref="BR5:BY5"/>
    <mergeCell ref="CA5:CI5"/>
    <mergeCell ref="CK5:CN5"/>
    <mergeCell ref="CO5:CU5"/>
    <mergeCell ref="A5:A6"/>
    <mergeCell ref="B5:B6"/>
  </mergeCells>
  <conditionalFormatting sqref="C7">
    <cfRule type="containsText" dxfId="0" priority="88" operator="between" text="NO">
      <formula>NOT(ISERROR(SEARCH("NO",C7)))</formula>
    </cfRule>
  </conditionalFormatting>
  <conditionalFormatting sqref="AF7">
    <cfRule type="containsText" dxfId="0" priority="117" operator="between" text="NO">
      <formula>NOT(ISERROR(SEARCH("NO",AF7)))</formula>
    </cfRule>
  </conditionalFormatting>
  <conditionalFormatting sqref="AN7">
    <cfRule type="containsText" dxfId="0" priority="113" operator="between" text="NO">
      <formula>NOT(ISERROR(SEARCH("NO",AN7)))</formula>
    </cfRule>
  </conditionalFormatting>
  <conditionalFormatting sqref="BF24">
    <cfRule type="containsText" dxfId="0" priority="22" operator="between" text="NO">
      <formula>NOT(ISERROR(SEARCH("NO",BF24)))</formula>
    </cfRule>
  </conditionalFormatting>
  <conditionalFormatting sqref="CK30:CR30">
    <cfRule type="containsText" dxfId="0" priority="121" operator="between" text="NO">
      <formula>NOT(ISERROR(SEARCH("NO",CK30)))</formula>
    </cfRule>
  </conditionalFormatting>
  <conditionalFormatting sqref="J36:Q36">
    <cfRule type="containsText" dxfId="0" priority="63" operator="between" text="NO">
      <formula>NOT(ISERROR(SEARCH("NO",J36)))</formula>
    </cfRule>
  </conditionalFormatting>
  <conditionalFormatting sqref="AF36:AL36">
    <cfRule type="containsText" dxfId="0" priority="62" operator="between" text="NO">
      <formula>NOT(ISERROR(SEARCH("NO",AF36)))</formula>
    </cfRule>
  </conditionalFormatting>
  <conditionalFormatting sqref="AN36:AT36">
    <cfRule type="containsText" dxfId="0" priority="60" operator="between" text="NO">
      <formula>NOT(ISERROR(SEARCH("NO",AN36)))</formula>
    </cfRule>
  </conditionalFormatting>
  <conditionalFormatting sqref="AV36:BC36">
    <cfRule type="containsText" dxfId="0" priority="58" operator="between" text="NO">
      <formula>NOT(ISERROR(SEARCH("NO",AV36)))</formula>
    </cfRule>
  </conditionalFormatting>
  <conditionalFormatting sqref="BE36:BK36">
    <cfRule type="containsText" dxfId="0" priority="57" operator="between" text="NO">
      <formula>NOT(ISERROR(SEARCH("NO",BE36)))</formula>
    </cfRule>
  </conditionalFormatting>
  <conditionalFormatting sqref="C37">
    <cfRule type="containsText" dxfId="0" priority="118" operator="between" text="NO">
      <formula>NOT(ISERROR(SEARCH("NO",C37)))</formula>
    </cfRule>
  </conditionalFormatting>
  <conditionalFormatting sqref="C22:C35">
    <cfRule type="containsText" dxfId="0" priority="74" operator="between" text="NO">
      <formula>NOT(ISERROR(SEARCH("NO",C22)))</formula>
    </cfRule>
  </conditionalFormatting>
  <conditionalFormatting sqref="I21:I36">
    <cfRule type="containsText" dxfId="0" priority="44" operator="between" text="NO">
      <formula>NOT(ISERROR(SEARCH("NO",I21)))</formula>
    </cfRule>
  </conditionalFormatting>
  <conditionalFormatting sqref="W26:W36">
    <cfRule type="containsText" dxfId="0" priority="9" operator="between" text="NO">
      <formula>NOT(ISERROR(SEARCH("NO",W26)))</formula>
    </cfRule>
  </conditionalFormatting>
  <conditionalFormatting sqref="W38:W40">
    <cfRule type="containsText" dxfId="0" priority="8" operator="between" text="NO">
      <formula>NOT(ISERROR(SEARCH("NO",W38)))</formula>
    </cfRule>
  </conditionalFormatting>
  <conditionalFormatting sqref="AK21:AK23">
    <cfRule type="containsText" dxfId="0" priority="12" operator="between" text="NO">
      <formula>NOT(ISERROR(SEARCH("NO",AK21)))</formula>
    </cfRule>
  </conditionalFormatting>
  <conditionalFormatting sqref="AM7:AM36">
    <cfRule type="containsText" dxfId="0" priority="6" operator="between" text="NO">
      <formula>NOT(ISERROR(SEARCH("NO",AM7)))</formula>
    </cfRule>
  </conditionalFormatting>
  <conditionalFormatting sqref="AR7:AR23">
    <cfRule type="containsText" dxfId="0" priority="18" operator="between" text="NO">
      <formula>NOT(ISERROR(SEARCH("NO",AR7)))</formula>
    </cfRule>
  </conditionalFormatting>
  <conditionalFormatting sqref="AT7:AT24">
    <cfRule type="containsText" dxfId="0" priority="80" operator="between" text="NO">
      <formula>NOT(ISERROR(SEARCH("NO",AT7)))</formula>
    </cfRule>
  </conditionalFormatting>
  <conditionalFormatting sqref="AU7:AU36">
    <cfRule type="containsText" dxfId="0" priority="5" operator="between" text="NO">
      <formula>NOT(ISERROR(SEARCH("NO",AU7)))</formula>
    </cfRule>
  </conditionalFormatting>
  <conditionalFormatting sqref="BA7:BA23">
    <cfRule type="containsText" dxfId="0" priority="7" operator="between" text="NO">
      <formula>NOT(ISERROR(SEARCH("NO",BA7)))</formula>
    </cfRule>
  </conditionalFormatting>
  <conditionalFormatting sqref="BD7:BD36">
    <cfRule type="containsText" dxfId="0" priority="4" operator="between" text="NO">
      <formula>NOT(ISERROR(SEARCH("NO",BD7)))</formula>
    </cfRule>
  </conditionalFormatting>
  <conditionalFormatting sqref="BE7:BE13">
    <cfRule type="containsText" dxfId="0" priority="107" operator="between" text="NO">
      <formula>NOT(ISERROR(SEARCH("NO",BE7)))</formula>
    </cfRule>
  </conditionalFormatting>
  <conditionalFormatting sqref="BE24:BE35">
    <cfRule type="containsText" dxfId="0" priority="106" operator="between" text="NO">
      <formula>NOT(ISERROR(SEARCH("NO",BE24)))</formula>
    </cfRule>
  </conditionalFormatting>
  <conditionalFormatting sqref="BL7:BL36">
    <cfRule type="containsText" dxfId="0" priority="3" operator="between" text="NO">
      <formula>NOT(ISERROR(SEARCH("NO",BL7)))</formula>
    </cfRule>
  </conditionalFormatting>
  <conditionalFormatting sqref="BZ7:BZ36">
    <cfRule type="containsText" dxfId="0" priority="2" operator="between" text="NO">
      <formula>NOT(ISERROR(SEARCH("NO",BZ7)))</formula>
    </cfRule>
  </conditionalFormatting>
  <conditionalFormatting sqref="CH7:CH24">
    <cfRule type="containsText" dxfId="0" priority="16" operator="between" text="NO">
      <formula>NOT(ISERROR(SEARCH("NO",CH7)))</formula>
    </cfRule>
  </conditionalFormatting>
  <conditionalFormatting sqref="CJ7:CJ36">
    <cfRule type="containsText" dxfId="0" priority="1" operator="between" text="NO">
      <formula>NOT(ISERROR(SEARCH("NO",CJ7)))</formula>
    </cfRule>
  </conditionalFormatting>
  <conditionalFormatting sqref="P26:Q35">
    <cfRule type="containsText" dxfId="0" priority="84" operator="between" text="NO">
      <formula>NOT(ISERROR(SEARCH("NO",P26)))</formula>
    </cfRule>
  </conditionalFormatting>
  <conditionalFormatting sqref="AG26:AL35">
    <cfRule type="containsText" dxfId="0" priority="81" operator="between" text="NO">
      <formula>NOT(ISERROR(SEARCH("NO",AG26)))</formula>
    </cfRule>
  </conditionalFormatting>
  <conditionalFormatting sqref="AW26:BC35">
    <cfRule type="containsText" dxfId="0" priority="79" operator="between" text="NO">
      <formula>NOT(ISERROR(SEARCH("NO",AW26)))</formula>
    </cfRule>
  </conditionalFormatting>
  <conditionalFormatting sqref="AG38:AQ40">
    <cfRule type="containsText" dxfId="0" priority="46" operator="between" text="NO">
      <formula>NOT(ISERROR(SEARCH("NO",AG38)))</formula>
    </cfRule>
  </conditionalFormatting>
  <pageMargins left="0.196850393700787" right="0.196850393700787" top="0.748031496062992" bottom="0.748031496062992" header="0.31496062992126" footer="0.31496062992126"/>
  <pageSetup paperSize="9" orientation="landscape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45"/>
  <sheetViews>
    <sheetView zoomScale="130" zoomScaleNormal="130" topLeftCell="AU1" workbookViewId="0">
      <selection activeCell="M11" sqref="M11"/>
    </sheetView>
  </sheetViews>
  <sheetFormatPr defaultColWidth="10.752380952381" defaultRowHeight="15"/>
  <cols>
    <col min="1" max="1" width="2.75238095238095" customWidth="1"/>
    <col min="2" max="3" width="13.752380952381" customWidth="1"/>
    <col min="4" max="4" width="4.37142857142857" customWidth="1"/>
    <col min="5" max="8" width="4.75238095238095" style="6" customWidth="1"/>
    <col min="9" max="9" width="3.75238095238095" customWidth="1"/>
    <col min="10" max="13" width="4.75238095238095" style="6" customWidth="1"/>
    <col min="14" max="14" width="3.75238095238095" customWidth="1"/>
    <col min="15" max="15" width="5.75238095238095" customWidth="1"/>
    <col min="16" max="16" width="6.37142857142857" customWidth="1"/>
    <col min="17" max="17" width="4.75238095238095" customWidth="1"/>
    <col min="18" max="18" width="3.75238095238095" customWidth="1"/>
    <col min="19" max="21" width="4.24761904761905" customWidth="1"/>
    <col min="22" max="22" width="3.75238095238095" customWidth="1"/>
    <col min="23" max="23" width="1.87619047619048" customWidth="1"/>
    <col min="24" max="24" width="5.37142857142857" customWidth="1"/>
    <col min="25" max="26" width="4.75238095238095" customWidth="1"/>
    <col min="27" max="27" width="4.37142857142857" customWidth="1"/>
    <col min="28" max="28" width="3.87619047619048" customWidth="1"/>
    <col min="29" max="29" width="5.12380952380952" customWidth="1"/>
    <col min="30" max="30" width="4.12380952380952" customWidth="1"/>
    <col min="31" max="31" width="4.37142857142857" customWidth="1"/>
    <col min="32" max="32" width="3.87619047619048" customWidth="1"/>
    <col min="33" max="33" width="1.12380952380952" customWidth="1"/>
    <col min="34" max="37" width="3.12380952380952" customWidth="1"/>
    <col min="38" max="38" width="1.24761904761905" customWidth="1"/>
    <col min="39" max="40" width="3.12380952380952" customWidth="1"/>
    <col min="41" max="41" width="1.12380952380952" customWidth="1"/>
    <col min="42" max="42" width="4" customWidth="1"/>
    <col min="44" max="55" width="10.752380952381" customWidth="1"/>
  </cols>
  <sheetData>
    <row r="1" ht="20.25" spans="1:42">
      <c r="A1" s="280" t="s">
        <v>118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80"/>
      <c r="S1" s="280"/>
      <c r="T1" s="280"/>
      <c r="U1" s="280"/>
      <c r="V1" s="280"/>
      <c r="W1" s="280"/>
      <c r="X1" s="280"/>
      <c r="Y1" s="280"/>
      <c r="Z1" s="280"/>
      <c r="AA1" s="280"/>
      <c r="AB1" s="280"/>
      <c r="AC1" s="280"/>
      <c r="AD1" s="280"/>
      <c r="AE1" s="280"/>
      <c r="AF1" s="280"/>
      <c r="AG1" s="280"/>
      <c r="AH1" s="280"/>
      <c r="AI1" s="280"/>
      <c r="AJ1" s="280"/>
      <c r="AK1" s="280"/>
      <c r="AL1" s="280"/>
      <c r="AM1" s="280"/>
      <c r="AN1" s="280"/>
      <c r="AO1" s="303"/>
      <c r="AP1" s="280"/>
    </row>
    <row r="2" ht="16.5" customHeight="1" spans="1:42">
      <c r="A2" s="8" t="s">
        <v>119</v>
      </c>
      <c r="B2" s="9"/>
      <c r="C2" s="10" t="s">
        <v>120</v>
      </c>
      <c r="D2" s="10"/>
      <c r="E2" s="11" t="s">
        <v>121</v>
      </c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78"/>
      <c r="AG2" s="83"/>
      <c r="AH2" s="84" t="s">
        <v>122</v>
      </c>
      <c r="AI2" s="84"/>
      <c r="AJ2" s="84"/>
      <c r="AK2" s="84"/>
      <c r="AL2" s="84"/>
      <c r="AM2" s="84"/>
      <c r="AN2" s="85"/>
      <c r="AO2" s="100"/>
      <c r="AP2" s="101" t="s">
        <v>123</v>
      </c>
    </row>
    <row r="3" ht="40.5" customHeight="1" spans="1:44">
      <c r="A3" s="8"/>
      <c r="B3" s="13"/>
      <c r="C3" s="14" t="s">
        <v>124</v>
      </c>
      <c r="D3" s="14"/>
      <c r="E3" s="15" t="s">
        <v>125</v>
      </c>
      <c r="F3" s="16"/>
      <c r="G3" s="16"/>
      <c r="H3" s="16"/>
      <c r="I3" s="47"/>
      <c r="J3" s="15" t="s">
        <v>126</v>
      </c>
      <c r="K3" s="16"/>
      <c r="L3" s="16"/>
      <c r="M3" s="16"/>
      <c r="N3" s="47"/>
      <c r="O3" s="15" t="s">
        <v>127</v>
      </c>
      <c r="P3" s="16"/>
      <c r="Q3" s="16"/>
      <c r="R3" s="47"/>
      <c r="S3" s="15" t="s">
        <v>128</v>
      </c>
      <c r="T3" s="16"/>
      <c r="U3" s="16"/>
      <c r="V3" s="47"/>
      <c r="W3" s="283"/>
      <c r="X3" s="15" t="s">
        <v>129</v>
      </c>
      <c r="Y3" s="16"/>
      <c r="Z3" s="16"/>
      <c r="AA3" s="16"/>
      <c r="AB3" s="47"/>
      <c r="AC3" s="15" t="s">
        <v>130</v>
      </c>
      <c r="AD3" s="16"/>
      <c r="AE3" s="16"/>
      <c r="AF3" s="47"/>
      <c r="AG3" s="86"/>
      <c r="AH3" s="87" t="s">
        <v>131</v>
      </c>
      <c r="AI3" s="87" t="s">
        <v>132</v>
      </c>
      <c r="AJ3" s="87" t="s">
        <v>133</v>
      </c>
      <c r="AK3" s="87" t="s">
        <v>134</v>
      </c>
      <c r="AL3" s="88"/>
      <c r="AM3" s="87" t="s">
        <v>135</v>
      </c>
      <c r="AN3" s="89" t="s">
        <v>136</v>
      </c>
      <c r="AO3" s="102"/>
      <c r="AP3" s="101"/>
      <c r="AR3" s="103" t="s">
        <v>137</v>
      </c>
    </row>
    <row r="4" ht="21.95" customHeight="1" spans="1:42">
      <c r="A4" s="8"/>
      <c r="B4" s="18" t="s">
        <v>138</v>
      </c>
      <c r="C4" s="18"/>
      <c r="D4" s="18"/>
      <c r="E4" s="51" t="s">
        <v>139</v>
      </c>
      <c r="F4" s="51" t="s">
        <v>140</v>
      </c>
      <c r="G4" s="51" t="s">
        <v>141</v>
      </c>
      <c r="H4" s="52"/>
      <c r="I4" s="49" t="s">
        <v>142</v>
      </c>
      <c r="J4" s="50" t="s">
        <v>143</v>
      </c>
      <c r="K4" s="51" t="s">
        <v>144</v>
      </c>
      <c r="L4" s="52" t="s">
        <v>145</v>
      </c>
      <c r="M4" s="52"/>
      <c r="N4" s="49" t="s">
        <v>146</v>
      </c>
      <c r="O4" s="50" t="s">
        <v>147</v>
      </c>
      <c r="P4" s="51" t="s">
        <v>148</v>
      </c>
      <c r="Q4" s="52"/>
      <c r="R4" s="49" t="s">
        <v>149</v>
      </c>
      <c r="S4" s="50" t="s">
        <v>150</v>
      </c>
      <c r="T4" s="51" t="s">
        <v>151</v>
      </c>
      <c r="U4" s="52"/>
      <c r="V4" s="284" t="s">
        <v>152</v>
      </c>
      <c r="W4" s="285"/>
      <c r="X4" s="286" t="s">
        <v>153</v>
      </c>
      <c r="Y4" s="295" t="s">
        <v>154</v>
      </c>
      <c r="Z4" s="295" t="s">
        <v>155</v>
      </c>
      <c r="AA4" s="295" t="s">
        <v>156</v>
      </c>
      <c r="AB4" s="296" t="s">
        <v>157</v>
      </c>
      <c r="AC4" s="297" t="s">
        <v>158</v>
      </c>
      <c r="AD4" s="295" t="s">
        <v>159</v>
      </c>
      <c r="AE4" s="295" t="s">
        <v>160</v>
      </c>
      <c r="AF4" s="296" t="s">
        <v>161</v>
      </c>
      <c r="AG4" s="90"/>
      <c r="AH4" s="87"/>
      <c r="AI4" s="87"/>
      <c r="AJ4" s="87"/>
      <c r="AK4" s="87"/>
      <c r="AL4" s="91"/>
      <c r="AM4" s="87"/>
      <c r="AN4" s="89"/>
      <c r="AO4" s="102"/>
      <c r="AP4" s="101"/>
    </row>
    <row r="5" ht="21.95" customHeight="1" spans="1:42">
      <c r="A5" s="8"/>
      <c r="B5" s="22" t="s">
        <v>162</v>
      </c>
      <c r="C5" s="22"/>
      <c r="D5" s="22"/>
      <c r="E5" s="55"/>
      <c r="F5" s="55"/>
      <c r="G5" s="55"/>
      <c r="H5" s="56"/>
      <c r="I5" s="53"/>
      <c r="J5" s="54"/>
      <c r="K5" s="55"/>
      <c r="L5" s="56"/>
      <c r="M5" s="56"/>
      <c r="N5" s="53"/>
      <c r="O5" s="54"/>
      <c r="P5" s="55"/>
      <c r="Q5" s="56"/>
      <c r="R5" s="53"/>
      <c r="S5" s="54"/>
      <c r="T5" s="55"/>
      <c r="U5" s="56"/>
      <c r="V5" s="287"/>
      <c r="W5" s="288"/>
      <c r="X5" s="286"/>
      <c r="Y5" s="295"/>
      <c r="Z5" s="295"/>
      <c r="AA5" s="295"/>
      <c r="AB5" s="296"/>
      <c r="AC5" s="297"/>
      <c r="AD5" s="295"/>
      <c r="AE5" s="295"/>
      <c r="AF5" s="296"/>
      <c r="AG5" s="90"/>
      <c r="AH5" s="87"/>
      <c r="AI5" s="87"/>
      <c r="AJ5" s="87"/>
      <c r="AK5" s="87"/>
      <c r="AL5" s="91"/>
      <c r="AM5" s="87"/>
      <c r="AN5" s="89"/>
      <c r="AO5" s="102"/>
      <c r="AP5" s="101"/>
    </row>
    <row r="6" ht="17.25" customHeight="1" spans="1:42">
      <c r="A6" s="8"/>
      <c r="B6" s="22" t="s">
        <v>163</v>
      </c>
      <c r="C6" s="22"/>
      <c r="D6" s="22"/>
      <c r="E6" s="55"/>
      <c r="F6" s="55"/>
      <c r="G6" s="55"/>
      <c r="H6" s="56"/>
      <c r="I6" s="53"/>
      <c r="J6" s="54"/>
      <c r="K6" s="55"/>
      <c r="L6" s="56"/>
      <c r="M6" s="56"/>
      <c r="N6" s="53"/>
      <c r="O6" s="54"/>
      <c r="P6" s="55"/>
      <c r="Q6" s="56"/>
      <c r="R6" s="53"/>
      <c r="S6" s="54"/>
      <c r="T6" s="55"/>
      <c r="U6" s="56"/>
      <c r="V6" s="287"/>
      <c r="W6" s="288"/>
      <c r="X6" s="286"/>
      <c r="Y6" s="295"/>
      <c r="Z6" s="295"/>
      <c r="AA6" s="295"/>
      <c r="AB6" s="296"/>
      <c r="AC6" s="297"/>
      <c r="AD6" s="295"/>
      <c r="AE6" s="295"/>
      <c r="AF6" s="296"/>
      <c r="AG6" s="90"/>
      <c r="AH6" s="87"/>
      <c r="AI6" s="87"/>
      <c r="AJ6" s="87"/>
      <c r="AK6" s="87"/>
      <c r="AL6" s="91"/>
      <c r="AM6" s="87"/>
      <c r="AN6" s="89"/>
      <c r="AO6" s="102"/>
      <c r="AP6" s="101"/>
    </row>
    <row r="7" ht="18.75" customHeight="1" spans="1:42">
      <c r="A7" s="8"/>
      <c r="B7" s="22" t="s">
        <v>164</v>
      </c>
      <c r="C7" s="22"/>
      <c r="D7" s="22"/>
      <c r="E7" s="55"/>
      <c r="F7" s="55"/>
      <c r="G7" s="55"/>
      <c r="H7" s="56"/>
      <c r="I7" s="53"/>
      <c r="J7" s="54"/>
      <c r="K7" s="55"/>
      <c r="L7" s="56"/>
      <c r="M7" s="56"/>
      <c r="N7" s="53"/>
      <c r="O7" s="54"/>
      <c r="P7" s="55"/>
      <c r="Q7" s="56"/>
      <c r="R7" s="53"/>
      <c r="S7" s="54"/>
      <c r="T7" s="55"/>
      <c r="U7" s="56"/>
      <c r="V7" s="287"/>
      <c r="W7" s="288"/>
      <c r="X7" s="286"/>
      <c r="Y7" s="295"/>
      <c r="Z7" s="295"/>
      <c r="AA7" s="295"/>
      <c r="AB7" s="296"/>
      <c r="AC7" s="297"/>
      <c r="AD7" s="295"/>
      <c r="AE7" s="295"/>
      <c r="AF7" s="296"/>
      <c r="AG7" s="90"/>
      <c r="AH7" s="87"/>
      <c r="AI7" s="87"/>
      <c r="AJ7" s="87"/>
      <c r="AK7" s="87"/>
      <c r="AL7" s="91"/>
      <c r="AM7" s="87"/>
      <c r="AN7" s="89"/>
      <c r="AO7" s="102"/>
      <c r="AP7" s="101"/>
    </row>
    <row r="8" ht="20.25" customHeight="1" spans="1:42">
      <c r="A8" s="8"/>
      <c r="B8" s="25" t="s">
        <v>165</v>
      </c>
      <c r="C8" s="25"/>
      <c r="D8" s="25"/>
      <c r="E8" s="55"/>
      <c r="F8" s="55"/>
      <c r="G8" s="55"/>
      <c r="H8" s="56"/>
      <c r="I8" s="53"/>
      <c r="J8" s="54"/>
      <c r="K8" s="55"/>
      <c r="L8" s="56"/>
      <c r="M8" s="56"/>
      <c r="N8" s="53"/>
      <c r="O8" s="54"/>
      <c r="P8" s="55"/>
      <c r="Q8" s="56"/>
      <c r="R8" s="53"/>
      <c r="S8" s="54"/>
      <c r="T8" s="55"/>
      <c r="U8" s="56"/>
      <c r="V8" s="287"/>
      <c r="W8" s="288"/>
      <c r="X8" s="286"/>
      <c r="Y8" s="295"/>
      <c r="Z8" s="295"/>
      <c r="AA8" s="295"/>
      <c r="AB8" s="296"/>
      <c r="AC8" s="297"/>
      <c r="AD8" s="295"/>
      <c r="AE8" s="295"/>
      <c r="AF8" s="296"/>
      <c r="AG8" s="90"/>
      <c r="AH8" s="87"/>
      <c r="AI8" s="87"/>
      <c r="AJ8" s="87"/>
      <c r="AK8" s="87"/>
      <c r="AL8" s="91"/>
      <c r="AM8" s="87"/>
      <c r="AN8" s="89"/>
      <c r="AO8" s="102"/>
      <c r="AP8" s="101"/>
    </row>
    <row r="9" ht="11.25" customHeight="1" spans="1:42">
      <c r="A9" s="8"/>
      <c r="B9" s="27" t="s">
        <v>67</v>
      </c>
      <c r="C9" s="27"/>
      <c r="D9" s="27"/>
      <c r="E9" s="55"/>
      <c r="F9" s="55"/>
      <c r="G9" s="55"/>
      <c r="H9" s="56"/>
      <c r="I9" s="53"/>
      <c r="J9" s="54"/>
      <c r="K9" s="55"/>
      <c r="L9" s="56"/>
      <c r="M9" s="56"/>
      <c r="N9" s="53"/>
      <c r="O9" s="54"/>
      <c r="P9" s="55"/>
      <c r="Q9" s="56"/>
      <c r="R9" s="53"/>
      <c r="S9" s="54"/>
      <c r="T9" s="55"/>
      <c r="U9" s="56"/>
      <c r="V9" s="287"/>
      <c r="W9" s="288"/>
      <c r="X9" s="286"/>
      <c r="Y9" s="295"/>
      <c r="Z9" s="295"/>
      <c r="AA9" s="295"/>
      <c r="AB9" s="296"/>
      <c r="AC9" s="297"/>
      <c r="AD9" s="295"/>
      <c r="AE9" s="295"/>
      <c r="AF9" s="296"/>
      <c r="AG9" s="90"/>
      <c r="AH9" s="87"/>
      <c r="AI9" s="87"/>
      <c r="AJ9" s="87"/>
      <c r="AK9" s="87"/>
      <c r="AL9" s="91"/>
      <c r="AM9" s="87"/>
      <c r="AN9" s="89"/>
      <c r="AO9" s="102"/>
      <c r="AP9" s="101"/>
    </row>
    <row r="10" spans="1:42">
      <c r="A10" s="8"/>
      <c r="B10" s="27"/>
      <c r="C10" s="27"/>
      <c r="D10" s="27"/>
      <c r="E10" s="58"/>
      <c r="F10" s="58"/>
      <c r="G10" s="58"/>
      <c r="H10" s="59"/>
      <c r="I10" s="243"/>
      <c r="J10" s="57"/>
      <c r="K10" s="58"/>
      <c r="L10" s="59"/>
      <c r="M10" s="59"/>
      <c r="N10" s="243"/>
      <c r="O10" s="57"/>
      <c r="P10" s="58"/>
      <c r="Q10" s="59"/>
      <c r="R10" s="53"/>
      <c r="S10" s="57"/>
      <c r="T10" s="58"/>
      <c r="U10" s="59"/>
      <c r="V10" s="287"/>
      <c r="W10" s="288"/>
      <c r="X10" s="286"/>
      <c r="Y10" s="295"/>
      <c r="Z10" s="295"/>
      <c r="AA10" s="295"/>
      <c r="AB10" s="296"/>
      <c r="AC10" s="297"/>
      <c r="AD10" s="295"/>
      <c r="AE10" s="295"/>
      <c r="AF10" s="296"/>
      <c r="AG10" s="90"/>
      <c r="AH10" s="87"/>
      <c r="AI10" s="87"/>
      <c r="AJ10" s="87"/>
      <c r="AK10" s="87"/>
      <c r="AL10" s="91"/>
      <c r="AM10" s="87"/>
      <c r="AN10" s="89"/>
      <c r="AO10" s="102"/>
      <c r="AP10" s="101"/>
    </row>
    <row r="11" ht="12.75" customHeight="1" spans="1:42">
      <c r="A11" s="31" t="s">
        <v>166</v>
      </c>
      <c r="B11" s="32" t="str">
        <f>'3RO-D'!B7</f>
        <v>CASAVILCA ACOSTA YZUHAIM HUGO ALBERTO</v>
      </c>
      <c r="C11" s="32"/>
      <c r="D11" s="32"/>
      <c r="E11" s="66" t="s">
        <v>100</v>
      </c>
      <c r="F11" s="66" t="s">
        <v>101</v>
      </c>
      <c r="G11" s="66" t="s">
        <v>100</v>
      </c>
      <c r="H11" s="43"/>
      <c r="I11" s="65" t="s">
        <v>100</v>
      </c>
      <c r="J11" s="66" t="s">
        <v>100</v>
      </c>
      <c r="K11" s="66" t="s">
        <v>100</v>
      </c>
      <c r="L11" s="66" t="s">
        <v>100</v>
      </c>
      <c r="M11" s="43"/>
      <c r="N11" s="65" t="s">
        <v>100</v>
      </c>
      <c r="O11" s="66" t="s">
        <v>100</v>
      </c>
      <c r="P11" s="66" t="str">
        <f>N11</f>
        <v>AD</v>
      </c>
      <c r="Q11" s="43"/>
      <c r="R11" s="244" t="s">
        <v>100</v>
      </c>
      <c r="S11" s="66" t="s">
        <v>100</v>
      </c>
      <c r="T11" s="66" t="s">
        <v>100</v>
      </c>
      <c r="U11" s="43"/>
      <c r="V11" s="289" t="s">
        <v>100</v>
      </c>
      <c r="W11" s="288"/>
      <c r="X11" s="66" t="s">
        <v>101</v>
      </c>
      <c r="Y11" s="44" t="s">
        <v>101</v>
      </c>
      <c r="Z11" s="44" t="s">
        <v>102</v>
      </c>
      <c r="AA11" s="43" t="s">
        <v>102</v>
      </c>
      <c r="AB11" s="70" t="s">
        <v>101</v>
      </c>
      <c r="AC11" s="66" t="s">
        <v>101</v>
      </c>
      <c r="AD11" s="44" t="s">
        <v>101</v>
      </c>
      <c r="AE11" s="43" t="s">
        <v>102</v>
      </c>
      <c r="AF11" s="70" t="s">
        <v>101</v>
      </c>
      <c r="AG11" s="90"/>
      <c r="AH11" s="44" t="str">
        <f>I11</f>
        <v>AD</v>
      </c>
      <c r="AI11" s="44" t="str">
        <f>N11</f>
        <v>AD</v>
      </c>
      <c r="AJ11" s="44" t="str">
        <f>R11</f>
        <v>AD</v>
      </c>
      <c r="AK11" s="44" t="str">
        <f>V11</f>
        <v>AD</v>
      </c>
      <c r="AL11" s="91"/>
      <c r="AM11" s="44" t="str">
        <f>AB11</f>
        <v>A</v>
      </c>
      <c r="AN11" s="44" t="str">
        <f>AF11</f>
        <v>A</v>
      </c>
      <c r="AO11" s="102"/>
      <c r="AP11" s="104" t="s">
        <v>100</v>
      </c>
    </row>
    <row r="12" ht="12.75" customHeight="1" spans="1:55">
      <c r="A12" s="31" t="s">
        <v>167</v>
      </c>
      <c r="B12" s="32" t="str">
        <f>'3RO-D'!B8</f>
        <v>CASTRO VARGAS JHORDAN ANDREE WILLIAN</v>
      </c>
      <c r="C12" s="32"/>
      <c r="D12" s="32"/>
      <c r="E12" s="66" t="s">
        <v>100</v>
      </c>
      <c r="F12" s="66" t="s">
        <v>101</v>
      </c>
      <c r="G12" s="66" t="s">
        <v>101</v>
      </c>
      <c r="H12" s="46"/>
      <c r="I12" s="61" t="s">
        <v>101</v>
      </c>
      <c r="J12" s="66" t="s">
        <v>102</v>
      </c>
      <c r="K12" s="66" t="s">
        <v>101</v>
      </c>
      <c r="L12" s="66" t="s">
        <v>100</v>
      </c>
      <c r="M12" s="46"/>
      <c r="N12" s="61" t="s">
        <v>101</v>
      </c>
      <c r="O12" s="66" t="s">
        <v>100</v>
      </c>
      <c r="P12" s="66" t="str">
        <f t="shared" ref="P12:P45" si="0">N12</f>
        <v>A</v>
      </c>
      <c r="Q12" s="46"/>
      <c r="R12" s="244" t="s">
        <v>101</v>
      </c>
      <c r="S12" s="66" t="s">
        <v>101</v>
      </c>
      <c r="T12" s="66" t="s">
        <v>101</v>
      </c>
      <c r="U12" s="46"/>
      <c r="V12" s="289" t="s">
        <v>101</v>
      </c>
      <c r="W12" s="288"/>
      <c r="X12" s="67" t="s">
        <v>101</v>
      </c>
      <c r="Y12" s="45" t="s">
        <v>101</v>
      </c>
      <c r="Z12" s="45" t="s">
        <v>101</v>
      </c>
      <c r="AA12" s="46" t="s">
        <v>102</v>
      </c>
      <c r="AB12" s="68" t="s">
        <v>101</v>
      </c>
      <c r="AC12" s="67" t="s">
        <v>102</v>
      </c>
      <c r="AD12" s="45" t="s">
        <v>102</v>
      </c>
      <c r="AE12" s="46" t="s">
        <v>102</v>
      </c>
      <c r="AF12" s="68" t="s">
        <v>102</v>
      </c>
      <c r="AG12" s="90"/>
      <c r="AH12" s="44" t="str">
        <f t="shared" ref="AH12:AH24" si="1">I12</f>
        <v>A</v>
      </c>
      <c r="AI12" s="44" t="str">
        <f t="shared" ref="AI12:AI24" si="2">N12</f>
        <v>A</v>
      </c>
      <c r="AJ12" s="44" t="str">
        <f t="shared" ref="AJ12:AJ24" si="3">R12</f>
        <v>A</v>
      </c>
      <c r="AK12" s="44" t="str">
        <f t="shared" ref="AK12:AK24" si="4">V12</f>
        <v>A</v>
      </c>
      <c r="AL12" s="91"/>
      <c r="AM12" s="44" t="str">
        <f t="shared" ref="AM12:AM24" si="5">AB12</f>
        <v>A</v>
      </c>
      <c r="AN12" s="44" t="str">
        <f t="shared" ref="AN12:AN24" si="6">AF12</f>
        <v>B</v>
      </c>
      <c r="AO12" s="102"/>
      <c r="AP12" s="104" t="s">
        <v>101</v>
      </c>
      <c r="AS12" s="105" t="s">
        <v>168</v>
      </c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</row>
    <row r="13" ht="12.75" customHeight="1" spans="1:52">
      <c r="A13" s="31" t="s">
        <v>169</v>
      </c>
      <c r="B13" s="32" t="str">
        <f>'3RO-D'!B9</f>
        <v>CONDE GAMBOA JHONATAN RODRIGO</v>
      </c>
      <c r="C13" s="32"/>
      <c r="D13" s="32"/>
      <c r="E13" s="66" t="s">
        <v>100</v>
      </c>
      <c r="F13" s="66" t="s">
        <v>101</v>
      </c>
      <c r="G13" s="66" t="s">
        <v>101</v>
      </c>
      <c r="H13" s="46"/>
      <c r="I13" s="61" t="s">
        <v>101</v>
      </c>
      <c r="J13" s="66" t="s">
        <v>102</v>
      </c>
      <c r="K13" s="66" t="s">
        <v>102</v>
      </c>
      <c r="L13" s="66" t="s">
        <v>101</v>
      </c>
      <c r="M13" s="46"/>
      <c r="N13" s="61" t="s">
        <v>102</v>
      </c>
      <c r="O13" s="66" t="s">
        <v>101</v>
      </c>
      <c r="P13" s="66" t="str">
        <f t="shared" si="0"/>
        <v>B</v>
      </c>
      <c r="Q13" s="46"/>
      <c r="R13" s="244" t="s">
        <v>102</v>
      </c>
      <c r="S13" s="66" t="s">
        <v>100</v>
      </c>
      <c r="T13" s="66" t="s">
        <v>101</v>
      </c>
      <c r="U13" s="46"/>
      <c r="V13" s="289" t="s">
        <v>101</v>
      </c>
      <c r="W13" s="288"/>
      <c r="X13" s="67" t="s">
        <v>101</v>
      </c>
      <c r="Y13" s="45" t="s">
        <v>101</v>
      </c>
      <c r="Z13" s="45" t="s">
        <v>101</v>
      </c>
      <c r="AA13" s="46" t="s">
        <v>102</v>
      </c>
      <c r="AB13" s="68" t="s">
        <v>101</v>
      </c>
      <c r="AC13" s="67" t="s">
        <v>102</v>
      </c>
      <c r="AD13" s="45" t="s">
        <v>102</v>
      </c>
      <c r="AE13" s="46" t="s">
        <v>102</v>
      </c>
      <c r="AF13" s="68" t="s">
        <v>102</v>
      </c>
      <c r="AG13" s="90"/>
      <c r="AH13" s="44" t="str">
        <f t="shared" si="1"/>
        <v>A</v>
      </c>
      <c r="AI13" s="44" t="str">
        <f t="shared" si="2"/>
        <v>B</v>
      </c>
      <c r="AJ13" s="44" t="str">
        <f t="shared" si="3"/>
        <v>B</v>
      </c>
      <c r="AK13" s="44" t="str">
        <f t="shared" si="4"/>
        <v>A</v>
      </c>
      <c r="AL13" s="91"/>
      <c r="AM13" s="44" t="str">
        <f t="shared" si="5"/>
        <v>A</v>
      </c>
      <c r="AN13" s="44" t="str">
        <f t="shared" si="6"/>
        <v>B</v>
      </c>
      <c r="AO13" s="102"/>
      <c r="AP13" s="104" t="s">
        <v>101</v>
      </c>
      <c r="AX13" s="105" t="s">
        <v>170</v>
      </c>
      <c r="AY13" s="105"/>
      <c r="AZ13" s="105" t="s">
        <v>171</v>
      </c>
    </row>
    <row r="14" ht="12.75" customHeight="1" spans="1:54">
      <c r="A14" s="31" t="s">
        <v>172</v>
      </c>
      <c r="B14" s="32" t="str">
        <f>'3RO-D'!B10</f>
        <v>CUADROS ZEVALLOS ANGELO DAVID</v>
      </c>
      <c r="C14" s="32"/>
      <c r="D14" s="32"/>
      <c r="E14" s="66" t="s">
        <v>100</v>
      </c>
      <c r="F14" s="66" t="s">
        <v>100</v>
      </c>
      <c r="G14" s="66" t="s">
        <v>100</v>
      </c>
      <c r="H14" s="46"/>
      <c r="I14" s="61" t="s">
        <v>100</v>
      </c>
      <c r="J14" s="66" t="s">
        <v>101</v>
      </c>
      <c r="K14" s="66" t="s">
        <v>101</v>
      </c>
      <c r="L14" s="66" t="s">
        <v>100</v>
      </c>
      <c r="M14" s="46"/>
      <c r="N14" s="61" t="s">
        <v>101</v>
      </c>
      <c r="O14" s="66" t="s">
        <v>101</v>
      </c>
      <c r="P14" s="66" t="str">
        <f t="shared" si="0"/>
        <v>A</v>
      </c>
      <c r="Q14" s="46"/>
      <c r="R14" s="244" t="s">
        <v>101</v>
      </c>
      <c r="S14" s="66" t="s">
        <v>100</v>
      </c>
      <c r="T14" s="66" t="s">
        <v>100</v>
      </c>
      <c r="U14" s="46"/>
      <c r="V14" s="289" t="s">
        <v>100</v>
      </c>
      <c r="W14" s="288"/>
      <c r="X14" s="67" t="s">
        <v>101</v>
      </c>
      <c r="Y14" s="45" t="s">
        <v>101</v>
      </c>
      <c r="Z14" s="45" t="s">
        <v>101</v>
      </c>
      <c r="AA14" s="46" t="s">
        <v>102</v>
      </c>
      <c r="AB14" s="68" t="s">
        <v>101</v>
      </c>
      <c r="AC14" s="67" t="s">
        <v>101</v>
      </c>
      <c r="AD14" s="45" t="s">
        <v>101</v>
      </c>
      <c r="AE14" s="46" t="s">
        <v>102</v>
      </c>
      <c r="AF14" s="68" t="s">
        <v>101</v>
      </c>
      <c r="AG14" s="90"/>
      <c r="AH14" s="44" t="str">
        <f t="shared" si="1"/>
        <v>AD</v>
      </c>
      <c r="AI14" s="44" t="str">
        <f t="shared" si="2"/>
        <v>A</v>
      </c>
      <c r="AJ14" s="44" t="str">
        <f t="shared" si="3"/>
        <v>A</v>
      </c>
      <c r="AK14" s="44" t="str">
        <f t="shared" si="4"/>
        <v>AD</v>
      </c>
      <c r="AL14" s="91"/>
      <c r="AM14" s="44" t="str">
        <f t="shared" si="5"/>
        <v>A</v>
      </c>
      <c r="AN14" s="44" t="str">
        <f t="shared" si="6"/>
        <v>A</v>
      </c>
      <c r="AO14" s="102"/>
      <c r="AP14" s="104" t="s">
        <v>100</v>
      </c>
      <c r="AS14" s="105" t="s">
        <v>173</v>
      </c>
      <c r="AT14" s="106"/>
      <c r="AU14" s="106"/>
      <c r="AV14" s="106"/>
      <c r="AX14">
        <f>SUM(AX15:AX22)</f>
        <v>14</v>
      </c>
      <c r="AZ14" s="116">
        <f>SUM(AZ15:AZ22)</f>
        <v>100</v>
      </c>
      <c r="BB14">
        <f>SUM(BB15:BB22)</f>
        <v>100</v>
      </c>
    </row>
    <row r="15" ht="12.75" customHeight="1" spans="1:54">
      <c r="A15" s="31" t="s">
        <v>174</v>
      </c>
      <c r="B15" s="32" t="str">
        <f>'3RO-D'!B11</f>
        <v>GALINDO HERNANDEZ EMERSON FELIPE</v>
      </c>
      <c r="C15" s="32"/>
      <c r="D15" s="32"/>
      <c r="E15" s="66" t="s">
        <v>100</v>
      </c>
      <c r="F15" s="66" t="s">
        <v>100</v>
      </c>
      <c r="G15" s="66" t="s">
        <v>100</v>
      </c>
      <c r="H15" s="46"/>
      <c r="I15" s="61" t="s">
        <v>100</v>
      </c>
      <c r="J15" s="66" t="s">
        <v>100</v>
      </c>
      <c r="K15" s="66" t="s">
        <v>102</v>
      </c>
      <c r="L15" s="66" t="s">
        <v>100</v>
      </c>
      <c r="M15" s="46"/>
      <c r="N15" s="61" t="s">
        <v>101</v>
      </c>
      <c r="O15" s="66" t="s">
        <v>100</v>
      </c>
      <c r="P15" s="66" t="str">
        <f t="shared" si="0"/>
        <v>A</v>
      </c>
      <c r="Q15" s="46"/>
      <c r="R15" s="244" t="s">
        <v>101</v>
      </c>
      <c r="S15" s="66" t="s">
        <v>100</v>
      </c>
      <c r="T15" s="66" t="s">
        <v>100</v>
      </c>
      <c r="U15" s="46"/>
      <c r="V15" s="289" t="s">
        <v>100</v>
      </c>
      <c r="W15" s="288"/>
      <c r="X15" s="67" t="s">
        <v>101</v>
      </c>
      <c r="Y15" s="45" t="s">
        <v>101</v>
      </c>
      <c r="Z15" s="45" t="s">
        <v>101</v>
      </c>
      <c r="AA15" s="46" t="s">
        <v>102</v>
      </c>
      <c r="AB15" s="68" t="s">
        <v>101</v>
      </c>
      <c r="AC15" s="67" t="s">
        <v>101</v>
      </c>
      <c r="AD15" s="45" t="s">
        <v>101</v>
      </c>
      <c r="AE15" s="46" t="s">
        <v>102</v>
      </c>
      <c r="AF15" s="68" t="s">
        <v>101</v>
      </c>
      <c r="AG15" s="90"/>
      <c r="AH15" s="44" t="str">
        <f t="shared" si="1"/>
        <v>AD</v>
      </c>
      <c r="AI15" s="44" t="str">
        <f t="shared" si="2"/>
        <v>A</v>
      </c>
      <c r="AJ15" s="44" t="str">
        <f t="shared" si="3"/>
        <v>A</v>
      </c>
      <c r="AK15" s="44" t="str">
        <f t="shared" si="4"/>
        <v>AD</v>
      </c>
      <c r="AL15" s="91"/>
      <c r="AM15" s="44" t="str">
        <f t="shared" si="5"/>
        <v>A</v>
      </c>
      <c r="AN15" s="44" t="s">
        <v>101</v>
      </c>
      <c r="AO15" s="102"/>
      <c r="AP15" s="104" t="s">
        <v>100</v>
      </c>
      <c r="AR15" s="110" t="s">
        <v>175</v>
      </c>
      <c r="AS15" s="105" t="s">
        <v>100</v>
      </c>
      <c r="AT15" s="106"/>
      <c r="AU15" s="106"/>
      <c r="AV15" s="106"/>
      <c r="AX15" s="117">
        <f>COUNTIF($AP$11:$AP$24,"AD")</f>
        <v>4</v>
      </c>
      <c r="AY15" s="118"/>
      <c r="AZ15" s="119">
        <f>AX15*100/$AX$14</f>
        <v>28.5714285714286</v>
      </c>
      <c r="BB15">
        <v>0</v>
      </c>
    </row>
    <row r="16" ht="12.75" customHeight="1" spans="1:54">
      <c r="A16" s="31" t="s">
        <v>176</v>
      </c>
      <c r="B16" s="32" t="str">
        <f>'3RO-D'!B12</f>
        <v>HERNANDEZ ENRIQUEZ JARED MIGUEL</v>
      </c>
      <c r="C16" s="32"/>
      <c r="D16" s="32"/>
      <c r="E16" s="66" t="s">
        <v>100</v>
      </c>
      <c r="F16" s="66" t="s">
        <v>100</v>
      </c>
      <c r="G16" s="66" t="s">
        <v>100</v>
      </c>
      <c r="H16" s="46"/>
      <c r="I16" s="61" t="s">
        <v>100</v>
      </c>
      <c r="J16" s="66" t="s">
        <v>102</v>
      </c>
      <c r="K16" s="66" t="s">
        <v>101</v>
      </c>
      <c r="L16" s="66" t="s">
        <v>101</v>
      </c>
      <c r="M16" s="46"/>
      <c r="N16" s="61" t="s">
        <v>101</v>
      </c>
      <c r="O16" s="66" t="s">
        <v>101</v>
      </c>
      <c r="P16" s="66" t="str">
        <f t="shared" si="0"/>
        <v>A</v>
      </c>
      <c r="Q16" s="46"/>
      <c r="R16" s="244" t="s">
        <v>101</v>
      </c>
      <c r="S16" s="66" t="s">
        <v>100</v>
      </c>
      <c r="T16" s="66" t="s">
        <v>101</v>
      </c>
      <c r="U16" s="46"/>
      <c r="V16" s="289" t="s">
        <v>101</v>
      </c>
      <c r="W16" s="288"/>
      <c r="X16" s="67" t="s">
        <v>101</v>
      </c>
      <c r="Y16" s="45" t="s">
        <v>101</v>
      </c>
      <c r="Z16" s="45" t="s">
        <v>101</v>
      </c>
      <c r="AA16" s="46" t="s">
        <v>102</v>
      </c>
      <c r="AB16" s="68" t="s">
        <v>101</v>
      </c>
      <c r="AC16" s="67" t="s">
        <v>102</v>
      </c>
      <c r="AD16" s="45" t="s">
        <v>102</v>
      </c>
      <c r="AE16" s="46" t="s">
        <v>102</v>
      </c>
      <c r="AF16" s="68" t="s">
        <v>102</v>
      </c>
      <c r="AG16" s="90"/>
      <c r="AH16" s="44" t="str">
        <f t="shared" si="1"/>
        <v>AD</v>
      </c>
      <c r="AI16" s="44" t="str">
        <f t="shared" si="2"/>
        <v>A</v>
      </c>
      <c r="AJ16" s="44" t="str">
        <f t="shared" si="3"/>
        <v>A</v>
      </c>
      <c r="AK16" s="44" t="str">
        <f t="shared" si="4"/>
        <v>A</v>
      </c>
      <c r="AL16" s="91"/>
      <c r="AM16" s="44" t="str">
        <f t="shared" si="5"/>
        <v>A</v>
      </c>
      <c r="AN16" s="44" t="str">
        <f t="shared" si="6"/>
        <v>B</v>
      </c>
      <c r="AO16" s="102"/>
      <c r="AP16" s="104" t="s">
        <v>101</v>
      </c>
      <c r="AS16" s="105" t="s">
        <v>101</v>
      </c>
      <c r="AT16" s="106"/>
      <c r="AU16" s="106"/>
      <c r="AV16" s="106"/>
      <c r="AX16" s="117">
        <f>COUNTIF($AP$11:$AP$24,"A")</f>
        <v>9</v>
      </c>
      <c r="AY16" s="118"/>
      <c r="AZ16" s="119">
        <f>AX16*100/$AX$14</f>
        <v>64.2857142857143</v>
      </c>
      <c r="BB16">
        <v>79</v>
      </c>
    </row>
    <row r="17" ht="12.75" customHeight="1" spans="1:54">
      <c r="A17" s="31" t="s">
        <v>177</v>
      </c>
      <c r="B17" s="32" t="str">
        <f>'3RO-D'!B13</f>
        <v>HERNANDEZ MUNIVE NICOLAS ERNESTO</v>
      </c>
      <c r="C17" s="32"/>
      <c r="D17" s="32"/>
      <c r="E17" s="66" t="s">
        <v>100</v>
      </c>
      <c r="F17" s="66" t="s">
        <v>101</v>
      </c>
      <c r="G17" s="66" t="s">
        <v>100</v>
      </c>
      <c r="H17" s="46"/>
      <c r="I17" s="61" t="s">
        <v>100</v>
      </c>
      <c r="J17" s="66" t="s">
        <v>101</v>
      </c>
      <c r="K17" s="66" t="s">
        <v>100</v>
      </c>
      <c r="L17" s="66" t="s">
        <v>100</v>
      </c>
      <c r="M17" s="46"/>
      <c r="N17" s="61" t="s">
        <v>100</v>
      </c>
      <c r="O17" s="66" t="s">
        <v>100</v>
      </c>
      <c r="P17" s="66" t="str">
        <f t="shared" si="0"/>
        <v>AD</v>
      </c>
      <c r="Q17" s="46"/>
      <c r="R17" s="244" t="s">
        <v>100</v>
      </c>
      <c r="S17" s="66" t="s">
        <v>100</v>
      </c>
      <c r="T17" s="66" t="s">
        <v>100</v>
      </c>
      <c r="U17" s="46"/>
      <c r="V17" s="289" t="s">
        <v>100</v>
      </c>
      <c r="W17" s="288"/>
      <c r="X17" s="67" t="s">
        <v>101</v>
      </c>
      <c r="Y17" s="45" t="s">
        <v>101</v>
      </c>
      <c r="Z17" s="45" t="s">
        <v>101</v>
      </c>
      <c r="AA17" s="46" t="s">
        <v>102</v>
      </c>
      <c r="AB17" s="68" t="s">
        <v>101</v>
      </c>
      <c r="AC17" s="67" t="s">
        <v>101</v>
      </c>
      <c r="AD17" s="45" t="s">
        <v>101</v>
      </c>
      <c r="AE17" s="46" t="s">
        <v>102</v>
      </c>
      <c r="AF17" s="68" t="s">
        <v>101</v>
      </c>
      <c r="AG17" s="90"/>
      <c r="AH17" s="44" t="str">
        <f t="shared" si="1"/>
        <v>AD</v>
      </c>
      <c r="AI17" s="44" t="str">
        <f t="shared" si="2"/>
        <v>AD</v>
      </c>
      <c r="AJ17" s="44" t="str">
        <f t="shared" si="3"/>
        <v>AD</v>
      </c>
      <c r="AK17" s="44" t="str">
        <f t="shared" si="4"/>
        <v>AD</v>
      </c>
      <c r="AL17" s="91"/>
      <c r="AM17" s="44" t="str">
        <f t="shared" si="5"/>
        <v>A</v>
      </c>
      <c r="AN17" s="44" t="str">
        <f t="shared" si="6"/>
        <v>A</v>
      </c>
      <c r="AO17" s="102"/>
      <c r="AP17" s="104" t="s">
        <v>100</v>
      </c>
      <c r="AR17" s="110" t="s">
        <v>175</v>
      </c>
      <c r="AS17" s="105" t="s">
        <v>102</v>
      </c>
      <c r="AT17" s="106"/>
      <c r="AU17" s="106"/>
      <c r="AV17" s="106"/>
      <c r="AX17" s="117">
        <f>COUNTIF($AP$11:$AP$24,"B")</f>
        <v>1</v>
      </c>
      <c r="AY17" s="118"/>
      <c r="AZ17" s="119">
        <f>AX17*100/$AX$14</f>
        <v>7.14285714285714</v>
      </c>
      <c r="BB17">
        <v>21</v>
      </c>
    </row>
    <row r="18" ht="12.75" customHeight="1" spans="1:52">
      <c r="A18" s="31" t="s">
        <v>178</v>
      </c>
      <c r="B18" s="32" t="str">
        <f>'3RO-D'!B14</f>
        <v>NAVAS GOMEZ BENJAMIN HUMBERTO</v>
      </c>
      <c r="C18" s="32"/>
      <c r="D18" s="32"/>
      <c r="E18" s="66" t="s">
        <v>100</v>
      </c>
      <c r="F18" s="66" t="s">
        <v>100</v>
      </c>
      <c r="G18" s="66" t="s">
        <v>101</v>
      </c>
      <c r="H18" s="46"/>
      <c r="I18" s="61" t="s">
        <v>100</v>
      </c>
      <c r="J18" s="66" t="s">
        <v>101</v>
      </c>
      <c r="K18" s="66" t="s">
        <v>101</v>
      </c>
      <c r="L18" s="66" t="s">
        <v>101</v>
      </c>
      <c r="M18" s="46"/>
      <c r="N18" s="61" t="s">
        <v>101</v>
      </c>
      <c r="O18" s="66" t="s">
        <v>101</v>
      </c>
      <c r="P18" s="66" t="str">
        <f t="shared" si="0"/>
        <v>A</v>
      </c>
      <c r="Q18" s="46"/>
      <c r="R18" s="244" t="s">
        <v>101</v>
      </c>
      <c r="S18" s="66" t="s">
        <v>100</v>
      </c>
      <c r="T18" s="66" t="s">
        <v>101</v>
      </c>
      <c r="U18" s="46"/>
      <c r="V18" s="289" t="s">
        <v>101</v>
      </c>
      <c r="W18" s="288"/>
      <c r="X18" s="67" t="s">
        <v>101</v>
      </c>
      <c r="Y18" s="45" t="s">
        <v>101</v>
      </c>
      <c r="Z18" s="45" t="s">
        <v>101</v>
      </c>
      <c r="AA18" s="46" t="s">
        <v>101</v>
      </c>
      <c r="AB18" s="68" t="s">
        <v>101</v>
      </c>
      <c r="AC18" s="67" t="s">
        <v>102</v>
      </c>
      <c r="AD18" s="45" t="s">
        <v>102</v>
      </c>
      <c r="AE18" s="46" t="s">
        <v>102</v>
      </c>
      <c r="AF18" s="68" t="s">
        <v>102</v>
      </c>
      <c r="AG18" s="90"/>
      <c r="AH18" s="44" t="str">
        <f t="shared" si="1"/>
        <v>AD</v>
      </c>
      <c r="AI18" s="44" t="str">
        <f t="shared" si="2"/>
        <v>A</v>
      </c>
      <c r="AJ18" s="44" t="str">
        <f t="shared" si="3"/>
        <v>A</v>
      </c>
      <c r="AK18" s="44" t="str">
        <f t="shared" si="4"/>
        <v>A</v>
      </c>
      <c r="AL18" s="91"/>
      <c r="AM18" s="44" t="str">
        <f t="shared" si="5"/>
        <v>A</v>
      </c>
      <c r="AN18" s="44" t="str">
        <f t="shared" si="6"/>
        <v>B</v>
      </c>
      <c r="AO18" s="102"/>
      <c r="AP18" s="104" t="s">
        <v>101</v>
      </c>
      <c r="AS18" s="105" t="s">
        <v>105</v>
      </c>
      <c r="AT18" s="106"/>
      <c r="AU18" s="106"/>
      <c r="AV18" s="106"/>
      <c r="AX18" s="117">
        <f>COUNTIF($AP$11:$AP$24,"C")</f>
        <v>0</v>
      </c>
      <c r="AY18" s="118"/>
      <c r="AZ18" s="119">
        <f t="shared" ref="AZ18:AZ22" si="7">AX18*100/$AX$14</f>
        <v>0</v>
      </c>
    </row>
    <row r="19" ht="12.75" customHeight="1" spans="1:54">
      <c r="A19" s="31" t="s">
        <v>179</v>
      </c>
      <c r="B19" s="32" t="str">
        <f>'3RO-D'!B15</f>
        <v>PACHECO ESPILLCO MATIAS DEYAIR</v>
      </c>
      <c r="C19" s="32"/>
      <c r="D19" s="32"/>
      <c r="E19" s="66" t="s">
        <v>100</v>
      </c>
      <c r="F19" s="66" t="s">
        <v>100</v>
      </c>
      <c r="G19" s="66" t="s">
        <v>101</v>
      </c>
      <c r="H19" s="46"/>
      <c r="I19" s="61" t="s">
        <v>100</v>
      </c>
      <c r="J19" s="66" t="s">
        <v>101</v>
      </c>
      <c r="K19" s="66" t="s">
        <v>101</v>
      </c>
      <c r="L19" s="66" t="s">
        <v>101</v>
      </c>
      <c r="M19" s="46"/>
      <c r="N19" s="61" t="s">
        <v>101</v>
      </c>
      <c r="O19" s="66" t="s">
        <v>101</v>
      </c>
      <c r="P19" s="66" t="str">
        <f t="shared" si="0"/>
        <v>A</v>
      </c>
      <c r="Q19" s="46"/>
      <c r="R19" s="244" t="s">
        <v>101</v>
      </c>
      <c r="S19" s="66" t="s">
        <v>101</v>
      </c>
      <c r="T19" s="66" t="s">
        <v>101</v>
      </c>
      <c r="U19" s="46"/>
      <c r="V19" s="289" t="s">
        <v>101</v>
      </c>
      <c r="W19" s="288"/>
      <c r="X19" s="67" t="s">
        <v>101</v>
      </c>
      <c r="Y19" s="45" t="s">
        <v>101</v>
      </c>
      <c r="Z19" s="45" t="s">
        <v>101</v>
      </c>
      <c r="AA19" s="46" t="s">
        <v>102</v>
      </c>
      <c r="AB19" s="68" t="s">
        <v>101</v>
      </c>
      <c r="AC19" s="67" t="s">
        <v>102</v>
      </c>
      <c r="AD19" s="45" t="s">
        <v>102</v>
      </c>
      <c r="AE19" s="46" t="s">
        <v>102</v>
      </c>
      <c r="AF19" s="68" t="s">
        <v>102</v>
      </c>
      <c r="AG19" s="90"/>
      <c r="AH19" s="44" t="str">
        <f t="shared" si="1"/>
        <v>AD</v>
      </c>
      <c r="AI19" s="44" t="str">
        <f t="shared" si="2"/>
        <v>A</v>
      </c>
      <c r="AJ19" s="44" t="str">
        <f t="shared" si="3"/>
        <v>A</v>
      </c>
      <c r="AK19" s="44" t="str">
        <f t="shared" si="4"/>
        <v>A</v>
      </c>
      <c r="AL19" s="91"/>
      <c r="AM19" s="44" t="str">
        <f t="shared" si="5"/>
        <v>A</v>
      </c>
      <c r="AN19" s="44" t="str">
        <f t="shared" si="6"/>
        <v>B</v>
      </c>
      <c r="AO19" s="102"/>
      <c r="AP19" s="104" t="s">
        <v>101</v>
      </c>
      <c r="AS19" s="105" t="s">
        <v>180</v>
      </c>
      <c r="AT19" s="106"/>
      <c r="AU19" s="106"/>
      <c r="AV19" s="106"/>
      <c r="AX19" s="117">
        <v>0</v>
      </c>
      <c r="AY19" s="118"/>
      <c r="AZ19" s="119">
        <f t="shared" si="7"/>
        <v>0</v>
      </c>
      <c r="BB19">
        <v>0</v>
      </c>
    </row>
    <row r="20" ht="12.75" customHeight="1" spans="1:52">
      <c r="A20" s="31" t="s">
        <v>181</v>
      </c>
      <c r="B20" s="32" t="str">
        <f>'3RO-D'!B16</f>
        <v>RAMIREZ ESCRIBA JHERCY HUSCIEL</v>
      </c>
      <c r="C20" s="32"/>
      <c r="D20" s="32"/>
      <c r="E20" s="66" t="s">
        <v>102</v>
      </c>
      <c r="F20" s="66" t="s">
        <v>100</v>
      </c>
      <c r="G20" s="66" t="s">
        <v>101</v>
      </c>
      <c r="H20" s="46"/>
      <c r="I20" s="61" t="s">
        <v>101</v>
      </c>
      <c r="J20" s="66" t="s">
        <v>100</v>
      </c>
      <c r="K20" s="66" t="s">
        <v>102</v>
      </c>
      <c r="L20" s="66" t="s">
        <v>101</v>
      </c>
      <c r="M20" s="46"/>
      <c r="N20" s="61" t="s">
        <v>101</v>
      </c>
      <c r="O20" s="66" t="s">
        <v>101</v>
      </c>
      <c r="P20" s="66" t="str">
        <f t="shared" si="0"/>
        <v>A</v>
      </c>
      <c r="Q20" s="46"/>
      <c r="R20" s="244" t="s">
        <v>101</v>
      </c>
      <c r="S20" s="66" t="s">
        <v>100</v>
      </c>
      <c r="T20" s="66" t="s">
        <v>101</v>
      </c>
      <c r="U20" s="46"/>
      <c r="V20" s="289" t="s">
        <v>101</v>
      </c>
      <c r="W20" s="288"/>
      <c r="X20" s="67" t="s">
        <v>101</v>
      </c>
      <c r="Y20" s="45" t="s">
        <v>101</v>
      </c>
      <c r="Z20" s="45" t="s">
        <v>101</v>
      </c>
      <c r="AA20" s="46" t="s">
        <v>102</v>
      </c>
      <c r="AB20" s="68" t="s">
        <v>101</v>
      </c>
      <c r="AC20" s="67" t="s">
        <v>101</v>
      </c>
      <c r="AD20" s="45" t="s">
        <v>101</v>
      </c>
      <c r="AE20" s="46" t="s">
        <v>102</v>
      </c>
      <c r="AF20" s="68" t="s">
        <v>101</v>
      </c>
      <c r="AG20" s="90"/>
      <c r="AH20" s="44" t="str">
        <f t="shared" si="1"/>
        <v>A</v>
      </c>
      <c r="AI20" s="44" t="str">
        <f t="shared" si="2"/>
        <v>A</v>
      </c>
      <c r="AJ20" s="44" t="str">
        <f t="shared" si="3"/>
        <v>A</v>
      </c>
      <c r="AK20" s="44" t="str">
        <f t="shared" si="4"/>
        <v>A</v>
      </c>
      <c r="AL20" s="91"/>
      <c r="AM20" s="44" t="str">
        <f t="shared" si="5"/>
        <v>A</v>
      </c>
      <c r="AN20" s="44" t="s">
        <v>102</v>
      </c>
      <c r="AO20" s="102"/>
      <c r="AP20" s="104" t="s">
        <v>101</v>
      </c>
      <c r="AS20" s="105" t="s">
        <v>182</v>
      </c>
      <c r="AT20" s="106"/>
      <c r="AU20" s="106"/>
      <c r="AV20" s="106"/>
      <c r="AX20" s="117">
        <v>0</v>
      </c>
      <c r="AY20" s="118"/>
      <c r="AZ20" s="119">
        <f t="shared" si="7"/>
        <v>0</v>
      </c>
    </row>
    <row r="21" ht="12.75" customHeight="1" spans="1:52">
      <c r="A21" s="31" t="s">
        <v>183</v>
      </c>
      <c r="B21" s="32" t="str">
        <f>'3RO-D'!B17</f>
        <v>SANCHEZ SANTIAGO KALEB MOISES</v>
      </c>
      <c r="C21" s="32"/>
      <c r="D21" s="32"/>
      <c r="E21" s="66" t="s">
        <v>100</v>
      </c>
      <c r="F21" s="66" t="s">
        <v>101</v>
      </c>
      <c r="G21" s="66" t="s">
        <v>101</v>
      </c>
      <c r="H21" s="46"/>
      <c r="I21" s="61" t="s">
        <v>101</v>
      </c>
      <c r="J21" s="66" t="s">
        <v>101</v>
      </c>
      <c r="K21" s="66" t="s">
        <v>102</v>
      </c>
      <c r="L21" s="66" t="s">
        <v>101</v>
      </c>
      <c r="M21" s="46"/>
      <c r="N21" s="61" t="s">
        <v>101</v>
      </c>
      <c r="O21" s="66" t="s">
        <v>101</v>
      </c>
      <c r="P21" s="66" t="str">
        <f t="shared" si="0"/>
        <v>A</v>
      </c>
      <c r="Q21" s="46"/>
      <c r="R21" s="244" t="s">
        <v>101</v>
      </c>
      <c r="S21" s="66" t="s">
        <v>101</v>
      </c>
      <c r="T21" s="66" t="s">
        <v>101</v>
      </c>
      <c r="U21" s="46"/>
      <c r="V21" s="289" t="s">
        <v>101</v>
      </c>
      <c r="W21" s="288"/>
      <c r="X21" s="67" t="s">
        <v>101</v>
      </c>
      <c r="Y21" s="45" t="s">
        <v>101</v>
      </c>
      <c r="Z21" s="45" t="s">
        <v>102</v>
      </c>
      <c r="AA21" s="46" t="s">
        <v>102</v>
      </c>
      <c r="AB21" s="68" t="s">
        <v>101</v>
      </c>
      <c r="AC21" s="67" t="s">
        <v>102</v>
      </c>
      <c r="AD21" s="45" t="s">
        <v>102</v>
      </c>
      <c r="AE21" s="46" t="s">
        <v>102</v>
      </c>
      <c r="AF21" s="68" t="s">
        <v>102</v>
      </c>
      <c r="AG21" s="90"/>
      <c r="AH21" s="44" t="str">
        <f t="shared" si="1"/>
        <v>A</v>
      </c>
      <c r="AI21" s="44" t="str">
        <f t="shared" si="2"/>
        <v>A</v>
      </c>
      <c r="AJ21" s="44" t="str">
        <f t="shared" si="3"/>
        <v>A</v>
      </c>
      <c r="AK21" s="44" t="str">
        <f t="shared" si="4"/>
        <v>A</v>
      </c>
      <c r="AL21" s="91"/>
      <c r="AM21" s="44" t="s">
        <v>101</v>
      </c>
      <c r="AN21" s="44" t="str">
        <f t="shared" si="6"/>
        <v>B</v>
      </c>
      <c r="AO21" s="102"/>
      <c r="AP21" s="107" t="s">
        <v>101</v>
      </c>
      <c r="AS21" s="105" t="s">
        <v>184</v>
      </c>
      <c r="AT21" s="106"/>
      <c r="AU21" s="106"/>
      <c r="AV21" s="106"/>
      <c r="AX21" s="117">
        <v>0</v>
      </c>
      <c r="AY21" s="118"/>
      <c r="AZ21" s="119">
        <f t="shared" si="7"/>
        <v>0</v>
      </c>
    </row>
    <row r="22" ht="12.75" customHeight="1" spans="1:52">
      <c r="A22" s="31" t="s">
        <v>185</v>
      </c>
      <c r="B22" s="32" t="str">
        <f>'3RO-D'!B18</f>
        <v>SEGOVIA LICAS DANGELO KENDALL</v>
      </c>
      <c r="C22" s="32"/>
      <c r="D22" s="32"/>
      <c r="E22" s="66" t="s">
        <v>100</v>
      </c>
      <c r="F22" s="66" t="s">
        <v>101</v>
      </c>
      <c r="G22" s="66" t="s">
        <v>101</v>
      </c>
      <c r="H22" s="46"/>
      <c r="I22" s="61" t="s">
        <v>101</v>
      </c>
      <c r="J22" s="66" t="s">
        <v>101</v>
      </c>
      <c r="K22" s="66" t="s">
        <v>102</v>
      </c>
      <c r="L22" s="66" t="s">
        <v>101</v>
      </c>
      <c r="M22" s="46"/>
      <c r="N22" s="61" t="s">
        <v>101</v>
      </c>
      <c r="O22" s="66" t="s">
        <v>102</v>
      </c>
      <c r="P22" s="66" t="str">
        <f t="shared" si="0"/>
        <v>A</v>
      </c>
      <c r="Q22" s="46"/>
      <c r="R22" s="244" t="s">
        <v>102</v>
      </c>
      <c r="S22" s="66" t="s">
        <v>101</v>
      </c>
      <c r="T22" s="66" t="s">
        <v>101</v>
      </c>
      <c r="U22" s="46"/>
      <c r="V22" s="289" t="s">
        <v>101</v>
      </c>
      <c r="W22" s="288"/>
      <c r="X22" s="67" t="s">
        <v>101</v>
      </c>
      <c r="Y22" s="45" t="s">
        <v>101</v>
      </c>
      <c r="Z22" s="45" t="s">
        <v>102</v>
      </c>
      <c r="AA22" s="46" t="s">
        <v>102</v>
      </c>
      <c r="AB22" s="68" t="s">
        <v>101</v>
      </c>
      <c r="AC22" s="67" t="s">
        <v>102</v>
      </c>
      <c r="AD22" s="45" t="s">
        <v>102</v>
      </c>
      <c r="AE22" s="46" t="s">
        <v>102</v>
      </c>
      <c r="AF22" s="68" t="s">
        <v>102</v>
      </c>
      <c r="AG22" s="90"/>
      <c r="AH22" s="44" t="str">
        <f t="shared" si="1"/>
        <v>A</v>
      </c>
      <c r="AI22" s="44" t="str">
        <f t="shared" si="2"/>
        <v>A</v>
      </c>
      <c r="AJ22" s="44" t="str">
        <f t="shared" si="3"/>
        <v>B</v>
      </c>
      <c r="AK22" s="44" t="str">
        <f t="shared" si="4"/>
        <v>A</v>
      </c>
      <c r="AL22" s="91"/>
      <c r="AM22" s="44" t="s">
        <v>101</v>
      </c>
      <c r="AN22" s="44" t="str">
        <f t="shared" ref="AN22:AN23" si="8">AF22</f>
        <v>B</v>
      </c>
      <c r="AO22" s="102"/>
      <c r="AP22" s="107" t="s">
        <v>101</v>
      </c>
      <c r="AS22" s="105" t="s">
        <v>186</v>
      </c>
      <c r="AT22" s="106"/>
      <c r="AU22" s="106"/>
      <c r="AV22" s="106"/>
      <c r="AX22" s="117">
        <v>0</v>
      </c>
      <c r="AY22" s="118"/>
      <c r="AZ22" s="119">
        <f t="shared" si="7"/>
        <v>0</v>
      </c>
    </row>
    <row r="23" ht="12.75" customHeight="1" spans="1:42">
      <c r="A23" s="31" t="s">
        <v>187</v>
      </c>
      <c r="B23" s="32" t="str">
        <f>'3RO-D'!B19</f>
        <v>VELARDE GONZALEZ MARCOS MIGUEL</v>
      </c>
      <c r="C23" s="32"/>
      <c r="D23" s="32"/>
      <c r="E23" s="66" t="s">
        <v>102</v>
      </c>
      <c r="F23" s="66" t="s">
        <v>102</v>
      </c>
      <c r="G23" s="66" t="s">
        <v>101</v>
      </c>
      <c r="H23" s="46"/>
      <c r="I23" s="61" t="s">
        <v>102</v>
      </c>
      <c r="J23" s="66" t="s">
        <v>102</v>
      </c>
      <c r="K23" s="66" t="s">
        <v>102</v>
      </c>
      <c r="L23" s="66" t="s">
        <v>101</v>
      </c>
      <c r="M23" s="46"/>
      <c r="N23" s="61" t="s">
        <v>102</v>
      </c>
      <c r="O23" s="66" t="s">
        <v>102</v>
      </c>
      <c r="P23" s="66" t="str">
        <f t="shared" si="0"/>
        <v>B</v>
      </c>
      <c r="Q23" s="46"/>
      <c r="R23" s="244" t="s">
        <v>102</v>
      </c>
      <c r="S23" s="66" t="s">
        <v>102</v>
      </c>
      <c r="T23" s="66" t="s">
        <v>102</v>
      </c>
      <c r="U23" s="46"/>
      <c r="V23" s="289" t="s">
        <v>102</v>
      </c>
      <c r="W23" s="288"/>
      <c r="X23" s="67" t="s">
        <v>102</v>
      </c>
      <c r="Y23" s="45" t="s">
        <v>102</v>
      </c>
      <c r="Z23" s="45" t="s">
        <v>102</v>
      </c>
      <c r="AA23" s="46" t="s">
        <v>102</v>
      </c>
      <c r="AB23" s="68" t="s">
        <v>102</v>
      </c>
      <c r="AC23" s="67" t="s">
        <v>102</v>
      </c>
      <c r="AD23" s="45" t="s">
        <v>102</v>
      </c>
      <c r="AE23" s="46" t="s">
        <v>102</v>
      </c>
      <c r="AF23" s="68" t="s">
        <v>102</v>
      </c>
      <c r="AG23" s="93"/>
      <c r="AH23" s="44" t="str">
        <f t="shared" si="1"/>
        <v>B</v>
      </c>
      <c r="AI23" s="44" t="str">
        <f t="shared" si="2"/>
        <v>B</v>
      </c>
      <c r="AJ23" s="44" t="str">
        <f t="shared" si="3"/>
        <v>B</v>
      </c>
      <c r="AK23" s="44" t="str">
        <f t="shared" si="4"/>
        <v>B</v>
      </c>
      <c r="AL23" s="94"/>
      <c r="AM23" s="44" t="str">
        <f t="shared" ref="AM22:AM23" si="9">AB23</f>
        <v>B</v>
      </c>
      <c r="AN23" s="44" t="str">
        <f t="shared" si="8"/>
        <v>B</v>
      </c>
      <c r="AO23" s="108"/>
      <c r="AP23" s="109" t="s">
        <v>102</v>
      </c>
    </row>
    <row r="24" ht="12.75" customHeight="1" spans="1:42">
      <c r="A24" s="31" t="s">
        <v>188</v>
      </c>
      <c r="B24" s="281" t="str">
        <f>'3RO-D'!B20</f>
        <v>YARCURI CRISOSTOMO JUAN DIEGO</v>
      </c>
      <c r="C24" s="281"/>
      <c r="D24" s="281"/>
      <c r="E24" s="282" t="s">
        <v>101</v>
      </c>
      <c r="F24" s="282" t="s">
        <v>101</v>
      </c>
      <c r="G24" s="282" t="s">
        <v>101</v>
      </c>
      <c r="H24" s="62"/>
      <c r="I24" s="63" t="s">
        <v>101</v>
      </c>
      <c r="J24" s="282" t="s">
        <v>102</v>
      </c>
      <c r="K24" s="282" t="s">
        <v>102</v>
      </c>
      <c r="L24" s="282" t="s">
        <v>101</v>
      </c>
      <c r="M24" s="62"/>
      <c r="N24" s="63" t="s">
        <v>102</v>
      </c>
      <c r="O24" s="282" t="s">
        <v>101</v>
      </c>
      <c r="P24" s="282" t="str">
        <f t="shared" si="0"/>
        <v>B</v>
      </c>
      <c r="Q24" s="62"/>
      <c r="R24" s="244" t="s">
        <v>102</v>
      </c>
      <c r="S24" s="282" t="s">
        <v>102</v>
      </c>
      <c r="T24" s="282" t="s">
        <v>101</v>
      </c>
      <c r="U24" s="62"/>
      <c r="V24" s="289" t="s">
        <v>101</v>
      </c>
      <c r="W24" s="288"/>
      <c r="X24" s="290" t="s">
        <v>101</v>
      </c>
      <c r="Y24" s="92" t="s">
        <v>101</v>
      </c>
      <c r="Z24" s="92" t="s">
        <v>102</v>
      </c>
      <c r="AA24" s="62" t="s">
        <v>102</v>
      </c>
      <c r="AB24" s="80" t="s">
        <v>101</v>
      </c>
      <c r="AC24" s="290" t="s">
        <v>102</v>
      </c>
      <c r="AD24" s="92" t="s">
        <v>102</v>
      </c>
      <c r="AE24" s="62" t="s">
        <v>102</v>
      </c>
      <c r="AF24" s="80" t="s">
        <v>102</v>
      </c>
      <c r="AG24" s="298"/>
      <c r="AH24" s="299" t="str">
        <f t="shared" si="1"/>
        <v>A</v>
      </c>
      <c r="AI24" s="299" t="str">
        <f t="shared" si="2"/>
        <v>B</v>
      </c>
      <c r="AJ24" s="299" t="str">
        <f t="shared" si="3"/>
        <v>B</v>
      </c>
      <c r="AK24" s="299" t="str">
        <f t="shared" si="4"/>
        <v>A</v>
      </c>
      <c r="AL24" s="300"/>
      <c r="AM24" s="299" t="str">
        <f t="shared" si="5"/>
        <v>A</v>
      </c>
      <c r="AN24" s="299" t="str">
        <f t="shared" si="6"/>
        <v>B</v>
      </c>
      <c r="AO24" s="100"/>
      <c r="AP24" s="304" t="s">
        <v>101</v>
      </c>
    </row>
    <row r="25" ht="12.75" customHeight="1" spans="1:52">
      <c r="A25" s="31" t="s">
        <v>189</v>
      </c>
      <c r="B25" s="241"/>
      <c r="C25" s="241"/>
      <c r="D25" s="241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>
        <f t="shared" si="0"/>
        <v>0</v>
      </c>
      <c r="Q25" s="34"/>
      <c r="R25" s="36"/>
      <c r="S25" s="34"/>
      <c r="T25" s="34"/>
      <c r="U25" s="34"/>
      <c r="V25" s="291"/>
      <c r="W25" s="292"/>
      <c r="X25" s="38"/>
      <c r="Y25" s="34"/>
      <c r="Z25" s="34"/>
      <c r="AA25" s="34"/>
      <c r="AB25" s="34"/>
      <c r="AC25" s="34"/>
      <c r="AD25" s="34"/>
      <c r="AE25" s="34"/>
      <c r="AF25" s="34"/>
      <c r="AG25" s="301"/>
      <c r="AH25" s="34"/>
      <c r="AI25" s="34"/>
      <c r="AJ25" s="34"/>
      <c r="AK25" s="34"/>
      <c r="AL25" s="302"/>
      <c r="AM25" s="34"/>
      <c r="AN25" s="34"/>
      <c r="AO25" s="305"/>
      <c r="AP25" s="306"/>
      <c r="AZ25" s="120">
        <f>SUM(AZ15:AZ22)</f>
        <v>100</v>
      </c>
    </row>
    <row r="26" ht="12.75" customHeight="1" spans="1:47">
      <c r="A26" s="31" t="s">
        <v>190</v>
      </c>
      <c r="B26" s="241"/>
      <c r="C26" s="241"/>
      <c r="D26" s="241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>
        <f t="shared" si="0"/>
        <v>0</v>
      </c>
      <c r="Q26" s="34"/>
      <c r="R26" s="34"/>
      <c r="S26" s="34"/>
      <c r="T26" s="34"/>
      <c r="U26" s="34"/>
      <c r="V26" s="293"/>
      <c r="W26" s="292"/>
      <c r="X26" s="38"/>
      <c r="Y26" s="34"/>
      <c r="Z26" s="34"/>
      <c r="AA26" s="34"/>
      <c r="AB26" s="34"/>
      <c r="AC26" s="34"/>
      <c r="AD26" s="34"/>
      <c r="AE26" s="34"/>
      <c r="AF26" s="34"/>
      <c r="AG26" s="301"/>
      <c r="AH26" s="34"/>
      <c r="AI26" s="34"/>
      <c r="AJ26" s="34"/>
      <c r="AK26" s="34"/>
      <c r="AL26" s="302"/>
      <c r="AM26" s="34"/>
      <c r="AN26" s="34"/>
      <c r="AO26" s="305"/>
      <c r="AP26" s="306"/>
      <c r="AT26" t="s">
        <v>100</v>
      </c>
      <c r="AU26">
        <f>COUNTIF(AP11:AP28,"AD")</f>
        <v>4</v>
      </c>
    </row>
    <row r="27" ht="12.75" customHeight="1" spans="1:47">
      <c r="A27" s="31" t="s">
        <v>191</v>
      </c>
      <c r="B27" s="241"/>
      <c r="C27" s="241"/>
      <c r="D27" s="241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>
        <f t="shared" si="0"/>
        <v>0</v>
      </c>
      <c r="Q27" s="34"/>
      <c r="R27" s="34"/>
      <c r="S27" s="34"/>
      <c r="T27" s="34"/>
      <c r="U27" s="34"/>
      <c r="V27" s="293"/>
      <c r="W27" s="292"/>
      <c r="X27" s="38"/>
      <c r="Y27" s="34"/>
      <c r="Z27" s="34"/>
      <c r="AA27" s="34"/>
      <c r="AB27" s="34"/>
      <c r="AC27" s="34"/>
      <c r="AD27" s="34"/>
      <c r="AE27" s="34"/>
      <c r="AF27" s="34"/>
      <c r="AG27" s="301"/>
      <c r="AH27" s="34"/>
      <c r="AI27" s="34"/>
      <c r="AJ27" s="34"/>
      <c r="AK27" s="34"/>
      <c r="AL27" s="302"/>
      <c r="AM27" s="34"/>
      <c r="AN27" s="34"/>
      <c r="AO27" s="305"/>
      <c r="AP27" s="306"/>
      <c r="AT27" t="s">
        <v>101</v>
      </c>
      <c r="AU27">
        <f>COUNTIF(AP11:AP28,"A")</f>
        <v>9</v>
      </c>
    </row>
    <row r="28" ht="12.75" customHeight="1" spans="1:47">
      <c r="A28" s="31" t="s">
        <v>192</v>
      </c>
      <c r="B28" s="241"/>
      <c r="C28" s="241"/>
      <c r="D28" s="241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>
        <f t="shared" si="0"/>
        <v>0</v>
      </c>
      <c r="Q28" s="34"/>
      <c r="R28" s="34"/>
      <c r="S28" s="34"/>
      <c r="T28" s="34"/>
      <c r="U28" s="34"/>
      <c r="V28" s="293"/>
      <c r="W28" s="292"/>
      <c r="X28" s="38"/>
      <c r="Y28" s="34"/>
      <c r="Z28" s="34"/>
      <c r="AA28" s="34"/>
      <c r="AB28" s="34"/>
      <c r="AC28" s="34"/>
      <c r="AD28" s="34"/>
      <c r="AE28" s="34"/>
      <c r="AF28" s="34"/>
      <c r="AG28" s="301"/>
      <c r="AH28" s="34"/>
      <c r="AI28" s="34"/>
      <c r="AJ28" s="34"/>
      <c r="AK28" s="34"/>
      <c r="AL28" s="302"/>
      <c r="AM28" s="34"/>
      <c r="AN28" s="34"/>
      <c r="AO28" s="305"/>
      <c r="AP28" s="306"/>
      <c r="AT28" t="s">
        <v>102</v>
      </c>
      <c r="AU28">
        <f>COUNTIF(AP11:AP28,"B")</f>
        <v>1</v>
      </c>
    </row>
    <row r="29" ht="12.75" customHeight="1" spans="1:47">
      <c r="A29" s="31" t="s">
        <v>193</v>
      </c>
      <c r="B29" s="241"/>
      <c r="C29" s="241"/>
      <c r="D29" s="241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>
        <f t="shared" si="0"/>
        <v>0</v>
      </c>
      <c r="Q29" s="34"/>
      <c r="R29" s="34"/>
      <c r="S29" s="34"/>
      <c r="T29" s="34"/>
      <c r="U29" s="34"/>
      <c r="V29" s="293"/>
      <c r="W29" s="292"/>
      <c r="X29" s="38"/>
      <c r="Y29" s="34"/>
      <c r="Z29" s="34"/>
      <c r="AA29" s="34"/>
      <c r="AB29" s="34"/>
      <c r="AC29" s="34"/>
      <c r="AD29" s="34"/>
      <c r="AE29" s="34"/>
      <c r="AF29" s="34"/>
      <c r="AG29" s="301"/>
      <c r="AH29" s="34"/>
      <c r="AI29" s="34"/>
      <c r="AJ29" s="34"/>
      <c r="AK29" s="34"/>
      <c r="AL29" s="302"/>
      <c r="AM29" s="34"/>
      <c r="AN29" s="34"/>
      <c r="AO29" s="305"/>
      <c r="AP29" s="34"/>
      <c r="AT29" t="s">
        <v>105</v>
      </c>
      <c r="AU29">
        <f>COUNTIF(AP11:AP28,"C")</f>
        <v>0</v>
      </c>
    </row>
    <row r="30" ht="12.75" customHeight="1" spans="1:42">
      <c r="A30" s="31" t="s">
        <v>194</v>
      </c>
      <c r="B30" s="241"/>
      <c r="C30" s="241"/>
      <c r="D30" s="241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>
        <f t="shared" si="0"/>
        <v>0</v>
      </c>
      <c r="Q30" s="34"/>
      <c r="R30" s="34"/>
      <c r="S30" s="34"/>
      <c r="T30" s="34"/>
      <c r="U30" s="34"/>
      <c r="V30" s="293"/>
      <c r="W30" s="292"/>
      <c r="X30" s="38"/>
      <c r="Y30" s="34"/>
      <c r="Z30" s="34"/>
      <c r="AA30" s="34"/>
      <c r="AB30" s="34"/>
      <c r="AC30" s="34"/>
      <c r="AD30" s="34"/>
      <c r="AE30" s="34"/>
      <c r="AF30" s="34"/>
      <c r="AG30" s="301"/>
      <c r="AH30" s="34"/>
      <c r="AI30" s="34"/>
      <c r="AJ30" s="34"/>
      <c r="AK30" s="34"/>
      <c r="AL30" s="302"/>
      <c r="AM30" s="34"/>
      <c r="AN30" s="34"/>
      <c r="AO30" s="305"/>
      <c r="AP30" s="34"/>
    </row>
    <row r="31" ht="12.75" customHeight="1" spans="1:47">
      <c r="A31" s="31" t="s">
        <v>195</v>
      </c>
      <c r="B31" s="241"/>
      <c r="C31" s="241"/>
      <c r="D31" s="241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>
        <f t="shared" si="0"/>
        <v>0</v>
      </c>
      <c r="Q31" s="34"/>
      <c r="R31" s="34"/>
      <c r="S31" s="34"/>
      <c r="T31" s="34"/>
      <c r="U31" s="34"/>
      <c r="V31" s="293"/>
      <c r="W31" s="292"/>
      <c r="X31" s="38"/>
      <c r="Y31" s="34"/>
      <c r="Z31" s="34"/>
      <c r="AA31" s="34"/>
      <c r="AB31" s="34"/>
      <c r="AC31" s="34"/>
      <c r="AD31" s="34"/>
      <c r="AE31" s="34"/>
      <c r="AF31" s="34"/>
      <c r="AG31" s="301"/>
      <c r="AH31" s="34"/>
      <c r="AI31" s="34"/>
      <c r="AJ31" s="34"/>
      <c r="AK31" s="34"/>
      <c r="AL31" s="302"/>
      <c r="AM31" s="34"/>
      <c r="AN31" s="34"/>
      <c r="AO31" s="305"/>
      <c r="AP31" s="34"/>
      <c r="AU31">
        <f>SUM(AU26:AU29)</f>
        <v>14</v>
      </c>
    </row>
    <row r="32" ht="12.75" customHeight="1" spans="1:42">
      <c r="A32" s="31" t="s">
        <v>196</v>
      </c>
      <c r="B32" s="241"/>
      <c r="C32" s="241"/>
      <c r="D32" s="241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>
        <f t="shared" si="0"/>
        <v>0</v>
      </c>
      <c r="Q32" s="34"/>
      <c r="R32" s="34"/>
      <c r="S32" s="34"/>
      <c r="T32" s="34"/>
      <c r="U32" s="34"/>
      <c r="V32" s="293"/>
      <c r="W32" s="292"/>
      <c r="X32" s="38"/>
      <c r="Y32" s="34"/>
      <c r="Z32" s="34"/>
      <c r="AA32" s="34"/>
      <c r="AB32" s="34"/>
      <c r="AC32" s="34"/>
      <c r="AD32" s="34"/>
      <c r="AE32" s="34"/>
      <c r="AF32" s="34"/>
      <c r="AG32" s="301"/>
      <c r="AH32" s="34"/>
      <c r="AI32" s="34"/>
      <c r="AJ32" s="34"/>
      <c r="AK32" s="34"/>
      <c r="AL32" s="302"/>
      <c r="AM32" s="34"/>
      <c r="AN32" s="34"/>
      <c r="AO32" s="305"/>
      <c r="AP32" s="34"/>
    </row>
    <row r="33" ht="12.75" customHeight="1" spans="1:42">
      <c r="A33" s="31" t="s">
        <v>197</v>
      </c>
      <c r="B33" s="241"/>
      <c r="C33" s="241"/>
      <c r="D33" s="241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>
        <f t="shared" si="0"/>
        <v>0</v>
      </c>
      <c r="Q33" s="34"/>
      <c r="R33" s="34"/>
      <c r="S33" s="34"/>
      <c r="T33" s="34"/>
      <c r="U33" s="34"/>
      <c r="V33" s="293"/>
      <c r="W33" s="292"/>
      <c r="X33" s="38"/>
      <c r="Y33" s="34"/>
      <c r="Z33" s="34"/>
      <c r="AA33" s="34"/>
      <c r="AB33" s="34"/>
      <c r="AC33" s="34"/>
      <c r="AD33" s="34"/>
      <c r="AE33" s="34"/>
      <c r="AF33" s="34"/>
      <c r="AG33" s="301"/>
      <c r="AH33" s="34"/>
      <c r="AI33" s="34"/>
      <c r="AJ33" s="34"/>
      <c r="AK33" s="34"/>
      <c r="AL33" s="302"/>
      <c r="AM33" s="34"/>
      <c r="AN33" s="34"/>
      <c r="AO33" s="305"/>
      <c r="AP33" s="34"/>
    </row>
    <row r="34" ht="12.75" customHeight="1" spans="1:42">
      <c r="A34" s="31" t="s">
        <v>198</v>
      </c>
      <c r="B34" s="241"/>
      <c r="C34" s="241"/>
      <c r="D34" s="241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>
        <f t="shared" si="0"/>
        <v>0</v>
      </c>
      <c r="Q34" s="34"/>
      <c r="R34" s="34"/>
      <c r="S34" s="34"/>
      <c r="T34" s="34"/>
      <c r="U34" s="34"/>
      <c r="V34" s="293"/>
      <c r="W34" s="292"/>
      <c r="X34" s="38"/>
      <c r="Y34" s="34"/>
      <c r="Z34" s="34"/>
      <c r="AA34" s="34"/>
      <c r="AB34" s="34"/>
      <c r="AC34" s="34"/>
      <c r="AD34" s="34"/>
      <c r="AE34" s="34"/>
      <c r="AF34" s="34"/>
      <c r="AG34" s="301"/>
      <c r="AH34" s="34"/>
      <c r="AI34" s="34"/>
      <c r="AJ34" s="34"/>
      <c r="AK34" s="34"/>
      <c r="AL34" s="302"/>
      <c r="AM34" s="34"/>
      <c r="AN34" s="34"/>
      <c r="AO34" s="305"/>
      <c r="AP34" s="34"/>
    </row>
    <row r="35" ht="12.75" customHeight="1" spans="1:42">
      <c r="A35" s="31" t="s">
        <v>199</v>
      </c>
      <c r="B35" s="241"/>
      <c r="C35" s="241"/>
      <c r="D35" s="241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>
        <f t="shared" si="0"/>
        <v>0</v>
      </c>
      <c r="Q35" s="34"/>
      <c r="R35" s="34"/>
      <c r="S35" s="34"/>
      <c r="T35" s="34"/>
      <c r="U35" s="34"/>
      <c r="V35" s="293"/>
      <c r="W35" s="292"/>
      <c r="X35" s="38"/>
      <c r="Y35" s="34"/>
      <c r="Z35" s="34"/>
      <c r="AA35" s="34"/>
      <c r="AB35" s="34"/>
      <c r="AC35" s="34"/>
      <c r="AD35" s="34"/>
      <c r="AE35" s="34"/>
      <c r="AF35" s="34"/>
      <c r="AG35" s="301"/>
      <c r="AH35" s="34"/>
      <c r="AI35" s="34"/>
      <c r="AJ35" s="34"/>
      <c r="AK35" s="34"/>
      <c r="AL35" s="302"/>
      <c r="AM35" s="34"/>
      <c r="AN35" s="34"/>
      <c r="AO35" s="305"/>
      <c r="AP35" s="34"/>
    </row>
    <row r="36" ht="12.75" customHeight="1" spans="1:42">
      <c r="A36" s="31" t="s">
        <v>200</v>
      </c>
      <c r="B36" s="241"/>
      <c r="C36" s="241"/>
      <c r="D36" s="241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>
        <f t="shared" si="0"/>
        <v>0</v>
      </c>
      <c r="Q36" s="34"/>
      <c r="R36" s="34"/>
      <c r="S36" s="34"/>
      <c r="T36" s="34"/>
      <c r="U36" s="34"/>
      <c r="V36" s="293"/>
      <c r="W36" s="292"/>
      <c r="X36" s="38"/>
      <c r="Y36" s="34"/>
      <c r="Z36" s="34"/>
      <c r="AA36" s="34"/>
      <c r="AB36" s="34"/>
      <c r="AC36" s="34"/>
      <c r="AD36" s="34"/>
      <c r="AE36" s="34"/>
      <c r="AF36" s="34"/>
      <c r="AG36" s="301"/>
      <c r="AH36" s="34"/>
      <c r="AI36" s="34"/>
      <c r="AJ36" s="34"/>
      <c r="AK36" s="34"/>
      <c r="AL36" s="302"/>
      <c r="AM36" s="34"/>
      <c r="AN36" s="34"/>
      <c r="AO36" s="305"/>
      <c r="AP36" s="34"/>
    </row>
    <row r="37" ht="12.75" customHeight="1" spans="1:42">
      <c r="A37" s="31" t="s">
        <v>201</v>
      </c>
      <c r="B37" s="241"/>
      <c r="C37" s="241"/>
      <c r="D37" s="241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>
        <f t="shared" si="0"/>
        <v>0</v>
      </c>
      <c r="Q37" s="34"/>
      <c r="R37" s="34"/>
      <c r="S37" s="34"/>
      <c r="T37" s="34"/>
      <c r="U37" s="34"/>
      <c r="V37" s="293"/>
      <c r="W37" s="292"/>
      <c r="X37" s="38"/>
      <c r="Y37" s="34"/>
      <c r="Z37" s="34"/>
      <c r="AA37" s="34"/>
      <c r="AB37" s="34"/>
      <c r="AC37" s="34"/>
      <c r="AD37" s="34"/>
      <c r="AE37" s="34"/>
      <c r="AF37" s="34"/>
      <c r="AG37" s="301"/>
      <c r="AH37" s="34"/>
      <c r="AI37" s="34"/>
      <c r="AJ37" s="34"/>
      <c r="AK37" s="34"/>
      <c r="AL37" s="302"/>
      <c r="AM37" s="34"/>
      <c r="AN37" s="34"/>
      <c r="AO37" s="305"/>
      <c r="AP37" s="34"/>
    </row>
    <row r="38" ht="12.75" customHeight="1" spans="1:42">
      <c r="A38" s="31" t="s">
        <v>202</v>
      </c>
      <c r="B38" s="241"/>
      <c r="C38" s="241"/>
      <c r="D38" s="241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>
        <f t="shared" si="0"/>
        <v>0</v>
      </c>
      <c r="Q38" s="34"/>
      <c r="R38" s="34"/>
      <c r="S38" s="34"/>
      <c r="T38" s="34"/>
      <c r="U38" s="34"/>
      <c r="V38" s="293"/>
      <c r="W38" s="292"/>
      <c r="X38" s="38"/>
      <c r="Y38" s="34"/>
      <c r="Z38" s="34"/>
      <c r="AA38" s="34"/>
      <c r="AB38" s="34"/>
      <c r="AC38" s="34"/>
      <c r="AD38" s="34"/>
      <c r="AE38" s="34"/>
      <c r="AF38" s="34"/>
      <c r="AG38" s="301"/>
      <c r="AH38" s="34"/>
      <c r="AI38" s="34"/>
      <c r="AJ38" s="34"/>
      <c r="AK38" s="34"/>
      <c r="AL38" s="302"/>
      <c r="AM38" s="34"/>
      <c r="AN38" s="34"/>
      <c r="AO38" s="305"/>
      <c r="AP38" s="34"/>
    </row>
    <row r="39" ht="12.75" customHeight="1" spans="1:42">
      <c r="A39" s="31" t="s">
        <v>203</v>
      </c>
      <c r="B39" s="241"/>
      <c r="C39" s="241"/>
      <c r="D39" s="241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>
        <f t="shared" si="0"/>
        <v>0</v>
      </c>
      <c r="Q39" s="34"/>
      <c r="R39" s="34"/>
      <c r="S39" s="34"/>
      <c r="T39" s="34"/>
      <c r="U39" s="34"/>
      <c r="V39" s="293"/>
      <c r="W39" s="292"/>
      <c r="X39" s="38"/>
      <c r="Y39" s="34"/>
      <c r="Z39" s="34"/>
      <c r="AA39" s="34"/>
      <c r="AB39" s="34"/>
      <c r="AC39" s="34"/>
      <c r="AD39" s="34"/>
      <c r="AE39" s="34"/>
      <c r="AF39" s="34"/>
      <c r="AG39" s="301"/>
      <c r="AH39" s="34"/>
      <c r="AI39" s="34"/>
      <c r="AJ39" s="34"/>
      <c r="AK39" s="34"/>
      <c r="AL39" s="302"/>
      <c r="AM39" s="34"/>
      <c r="AN39" s="34"/>
      <c r="AO39" s="305"/>
      <c r="AP39" s="34"/>
    </row>
    <row r="40" ht="12.75" customHeight="1" spans="1:42">
      <c r="A40" s="31" t="s">
        <v>204</v>
      </c>
      <c r="B40" s="241"/>
      <c r="C40" s="241"/>
      <c r="D40" s="241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>
        <f t="shared" si="0"/>
        <v>0</v>
      </c>
      <c r="Q40" s="34"/>
      <c r="R40" s="34"/>
      <c r="S40" s="34"/>
      <c r="T40" s="34"/>
      <c r="U40" s="34"/>
      <c r="V40" s="293"/>
      <c r="W40" s="292"/>
      <c r="X40" s="38"/>
      <c r="Y40" s="34"/>
      <c r="Z40" s="34"/>
      <c r="AA40" s="34"/>
      <c r="AB40" s="34"/>
      <c r="AC40" s="34"/>
      <c r="AD40" s="34"/>
      <c r="AE40" s="34"/>
      <c r="AF40" s="34"/>
      <c r="AG40" s="301"/>
      <c r="AH40" s="34"/>
      <c r="AI40" s="34"/>
      <c r="AJ40" s="34"/>
      <c r="AK40" s="34"/>
      <c r="AL40" s="302"/>
      <c r="AM40" s="34"/>
      <c r="AN40" s="34"/>
      <c r="AO40" s="305"/>
      <c r="AP40" s="34"/>
    </row>
    <row r="41" ht="12.75" customHeight="1" spans="1:42">
      <c r="A41" s="31" t="s">
        <v>205</v>
      </c>
      <c r="B41" s="241"/>
      <c r="C41" s="241"/>
      <c r="D41" s="241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>
        <f t="shared" si="0"/>
        <v>0</v>
      </c>
      <c r="Q41" s="34"/>
      <c r="R41" s="34"/>
      <c r="S41" s="34"/>
      <c r="T41" s="34"/>
      <c r="U41" s="34"/>
      <c r="V41" s="293"/>
      <c r="W41" s="292"/>
      <c r="X41" s="38"/>
      <c r="Y41" s="34"/>
      <c r="Z41" s="34"/>
      <c r="AA41" s="34"/>
      <c r="AB41" s="34"/>
      <c r="AC41" s="34"/>
      <c r="AD41" s="34"/>
      <c r="AE41" s="34"/>
      <c r="AF41" s="34"/>
      <c r="AG41" s="301"/>
      <c r="AH41" s="34"/>
      <c r="AI41" s="34"/>
      <c r="AJ41" s="34"/>
      <c r="AK41" s="34"/>
      <c r="AL41" s="302"/>
      <c r="AM41" s="34"/>
      <c r="AN41" s="34"/>
      <c r="AO41" s="305"/>
      <c r="AP41" s="34"/>
    </row>
    <row r="42" ht="12.75" customHeight="1" spans="1:42">
      <c r="A42" s="31" t="s">
        <v>206</v>
      </c>
      <c r="B42" s="241"/>
      <c r="C42" s="241"/>
      <c r="D42" s="241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>
        <f t="shared" si="0"/>
        <v>0</v>
      </c>
      <c r="Q42" s="34"/>
      <c r="R42" s="34"/>
      <c r="S42" s="34"/>
      <c r="T42" s="34"/>
      <c r="U42" s="34"/>
      <c r="V42" s="293"/>
      <c r="W42" s="292"/>
      <c r="X42" s="38"/>
      <c r="Y42" s="34"/>
      <c r="Z42" s="34"/>
      <c r="AA42" s="34"/>
      <c r="AB42" s="34"/>
      <c r="AC42" s="34"/>
      <c r="AD42" s="34"/>
      <c r="AE42" s="34"/>
      <c r="AF42" s="34"/>
      <c r="AG42" s="301"/>
      <c r="AH42" s="34"/>
      <c r="AI42" s="34"/>
      <c r="AJ42" s="34"/>
      <c r="AK42" s="34"/>
      <c r="AL42" s="302"/>
      <c r="AM42" s="34"/>
      <c r="AN42" s="34"/>
      <c r="AO42" s="305"/>
      <c r="AP42" s="34"/>
    </row>
    <row r="43" ht="12.75" customHeight="1" spans="1:42">
      <c r="A43" s="31" t="s">
        <v>207</v>
      </c>
      <c r="B43" s="241"/>
      <c r="C43" s="241"/>
      <c r="D43" s="241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>
        <f t="shared" si="0"/>
        <v>0</v>
      </c>
      <c r="Q43" s="34"/>
      <c r="R43" s="34"/>
      <c r="S43" s="34"/>
      <c r="T43" s="34"/>
      <c r="U43" s="34"/>
      <c r="V43" s="293"/>
      <c r="W43" s="292"/>
      <c r="X43" s="38"/>
      <c r="Y43" s="34"/>
      <c r="Z43" s="34"/>
      <c r="AA43" s="34"/>
      <c r="AB43" s="34"/>
      <c r="AC43" s="34"/>
      <c r="AD43" s="34"/>
      <c r="AE43" s="34"/>
      <c r="AF43" s="34"/>
      <c r="AG43" s="301"/>
      <c r="AH43" s="34"/>
      <c r="AI43" s="34"/>
      <c r="AJ43" s="34"/>
      <c r="AK43" s="34"/>
      <c r="AL43" s="302"/>
      <c r="AM43" s="34"/>
      <c r="AN43" s="34"/>
      <c r="AO43" s="305"/>
      <c r="AP43" s="34"/>
    </row>
    <row r="44" ht="12.75" customHeight="1" spans="1:42">
      <c r="A44" s="31" t="s">
        <v>208</v>
      </c>
      <c r="B44" s="241"/>
      <c r="C44" s="241"/>
      <c r="D44" s="241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>
        <f t="shared" si="0"/>
        <v>0</v>
      </c>
      <c r="Q44" s="34"/>
      <c r="R44" s="34"/>
      <c r="S44" s="34"/>
      <c r="T44" s="34"/>
      <c r="U44" s="34"/>
      <c r="V44" s="293"/>
      <c r="W44" s="292"/>
      <c r="X44" s="38"/>
      <c r="Y44" s="34"/>
      <c r="Z44" s="34"/>
      <c r="AA44" s="34"/>
      <c r="AB44" s="34"/>
      <c r="AC44" s="34"/>
      <c r="AD44" s="34"/>
      <c r="AE44" s="34"/>
      <c r="AF44" s="34"/>
      <c r="AG44" s="301"/>
      <c r="AH44" s="34"/>
      <c r="AI44" s="34"/>
      <c r="AJ44" s="34"/>
      <c r="AK44" s="34"/>
      <c r="AL44" s="302"/>
      <c r="AM44" s="34"/>
      <c r="AN44" s="34"/>
      <c r="AO44" s="305"/>
      <c r="AP44" s="34"/>
    </row>
    <row r="45" ht="12.75" customHeight="1" spans="1:42">
      <c r="A45" s="31" t="s">
        <v>209</v>
      </c>
      <c r="B45" s="241"/>
      <c r="C45" s="241"/>
      <c r="D45" s="241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>
        <f t="shared" si="0"/>
        <v>0</v>
      </c>
      <c r="Q45" s="34"/>
      <c r="R45" s="34"/>
      <c r="S45" s="34"/>
      <c r="T45" s="34"/>
      <c r="U45" s="34"/>
      <c r="V45" s="293"/>
      <c r="W45" s="294"/>
      <c r="X45" s="38"/>
      <c r="Y45" s="34"/>
      <c r="Z45" s="34"/>
      <c r="AA45" s="34"/>
      <c r="AB45" s="34"/>
      <c r="AC45" s="34"/>
      <c r="AD45" s="34"/>
      <c r="AE45" s="34"/>
      <c r="AF45" s="34"/>
      <c r="AG45" s="301"/>
      <c r="AH45" s="34"/>
      <c r="AI45" s="34"/>
      <c r="AJ45" s="34"/>
      <c r="AK45" s="34"/>
      <c r="AL45" s="302"/>
      <c r="AM45" s="34"/>
      <c r="AN45" s="34"/>
      <c r="AO45" s="305"/>
      <c r="AP45" s="34"/>
    </row>
  </sheetData>
  <mergeCells count="99">
    <mergeCell ref="A1:AP1"/>
    <mergeCell ref="C2:D2"/>
    <mergeCell ref="E2:AF2"/>
    <mergeCell ref="AH2:AN2"/>
    <mergeCell ref="C3:D3"/>
    <mergeCell ref="E3:I3"/>
    <mergeCell ref="J3:N3"/>
    <mergeCell ref="O3:R3"/>
    <mergeCell ref="S3:V3"/>
    <mergeCell ref="X3:AB3"/>
    <mergeCell ref="AC3:AF3"/>
    <mergeCell ref="B4:D4"/>
    <mergeCell ref="B5:D5"/>
    <mergeCell ref="B6:D6"/>
    <mergeCell ref="B7:D7"/>
    <mergeCell ref="B8:D8"/>
    <mergeCell ref="B11:D11"/>
    <mergeCell ref="B12:D12"/>
    <mergeCell ref="AS12:BC12"/>
    <mergeCell ref="B13:D13"/>
    <mergeCell ref="B14:D14"/>
    <mergeCell ref="AS14:AV14"/>
    <mergeCell ref="B15:D15"/>
    <mergeCell ref="AS15:AV15"/>
    <mergeCell ref="B16:D16"/>
    <mergeCell ref="AS16:AV16"/>
    <mergeCell ref="B17:D17"/>
    <mergeCell ref="AS17:AV17"/>
    <mergeCell ref="B18:D18"/>
    <mergeCell ref="AS18:AV18"/>
    <mergeCell ref="B19:D19"/>
    <mergeCell ref="AS19:AV19"/>
    <mergeCell ref="B20:D20"/>
    <mergeCell ref="AS20:AV20"/>
    <mergeCell ref="B21:D21"/>
    <mergeCell ref="AS21:AV21"/>
    <mergeCell ref="B22:D22"/>
    <mergeCell ref="AS22:AV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A2:A10"/>
    <mergeCell ref="E4:E10"/>
    <mergeCell ref="F4:F10"/>
    <mergeCell ref="G4:G10"/>
    <mergeCell ref="H4:H10"/>
    <mergeCell ref="I4:I10"/>
    <mergeCell ref="J4:J10"/>
    <mergeCell ref="K4:K10"/>
    <mergeCell ref="L4:L10"/>
    <mergeCell ref="M4:M10"/>
    <mergeCell ref="N4:N10"/>
    <mergeCell ref="O4:O10"/>
    <mergeCell ref="P4:P10"/>
    <mergeCell ref="Q4:Q10"/>
    <mergeCell ref="R4:R10"/>
    <mergeCell ref="S4:S10"/>
    <mergeCell ref="T4:T10"/>
    <mergeCell ref="U4:U10"/>
    <mergeCell ref="V4:V10"/>
    <mergeCell ref="W4:W10"/>
    <mergeCell ref="W26:W45"/>
    <mergeCell ref="X4:X10"/>
    <mergeCell ref="Y4:Y10"/>
    <mergeCell ref="Z4:Z10"/>
    <mergeCell ref="AA4:AA10"/>
    <mergeCell ref="AB4:AB10"/>
    <mergeCell ref="AC4:AC10"/>
    <mergeCell ref="AD4:AD10"/>
    <mergeCell ref="AE4:AE10"/>
    <mergeCell ref="AF4:AF10"/>
    <mergeCell ref="AH3:AH10"/>
    <mergeCell ref="AI3:AI10"/>
    <mergeCell ref="AJ3:AJ10"/>
    <mergeCell ref="AK3:AK10"/>
    <mergeCell ref="AM3:AM10"/>
    <mergeCell ref="AN3:AN10"/>
    <mergeCell ref="AP2:AP10"/>
    <mergeCell ref="B9:D10"/>
  </mergeCells>
  <conditionalFormatting sqref="AR15">
    <cfRule type="cellIs" dxfId="1" priority="119" stopIfTrue="1" operator="greaterThan">
      <formula>10</formula>
    </cfRule>
    <cfRule type="cellIs" dxfId="2" priority="120" stopIfTrue="1" operator="lessThanOrEqual">
      <formula>10.9</formula>
    </cfRule>
  </conditionalFormatting>
  <conditionalFormatting sqref="AR17">
    <cfRule type="cellIs" dxfId="1" priority="117" stopIfTrue="1" operator="greaterThan">
      <formula>10</formula>
    </cfRule>
    <cfRule type="cellIs" dxfId="2" priority="118" stopIfTrue="1" operator="lessThanOrEqual">
      <formula>10.9</formula>
    </cfRule>
  </conditionalFormatting>
  <conditionalFormatting sqref="I26:I28">
    <cfRule type="cellIs" dxfId="3" priority="88" stopIfTrue="1" operator="lessThan">
      <formula>11</formula>
    </cfRule>
    <cfRule type="cellIs" dxfId="4" priority="89" stopIfTrue="1" operator="greaterThan">
      <formula>10</formula>
    </cfRule>
    <cfRule type="cellIs" dxfId="5" priority="90" stopIfTrue="1" operator="lessThan">
      <formula>11</formula>
    </cfRule>
  </conditionalFormatting>
  <conditionalFormatting sqref="N26:N28">
    <cfRule type="cellIs" dxfId="3" priority="85" stopIfTrue="1" operator="lessThan">
      <formula>11</formula>
    </cfRule>
    <cfRule type="cellIs" dxfId="5" priority="87" stopIfTrue="1" operator="lessThan">
      <formula>11</formula>
    </cfRule>
  </conditionalFormatting>
  <conditionalFormatting sqref="N44:N45">
    <cfRule type="cellIs" dxfId="3" priority="644" stopIfTrue="1" operator="lessThan">
      <formula>11</formula>
    </cfRule>
    <cfRule type="cellIs" dxfId="4" priority="645" stopIfTrue="1" operator="greaterThan">
      <formula>10</formula>
    </cfRule>
    <cfRule type="cellIs" dxfId="5" priority="646" stopIfTrue="1" operator="lessThan">
      <formula>11</formula>
    </cfRule>
  </conditionalFormatting>
  <conditionalFormatting sqref="O11:O24">
    <cfRule type="cellIs" dxfId="3" priority="9" stopIfTrue="1" operator="lessThan">
      <formula>11</formula>
    </cfRule>
    <cfRule type="cellIs" dxfId="4" priority="10" stopIfTrue="1" operator="greaterThan">
      <formula>10</formula>
    </cfRule>
    <cfRule type="cellIs" dxfId="5" priority="11" stopIfTrue="1" operator="lessThan">
      <formula>11</formula>
    </cfRule>
  </conditionalFormatting>
  <conditionalFormatting sqref="O26:O28">
    <cfRule type="cellIs" dxfId="6" priority="94" stopIfTrue="1" operator="lessThanOrEqual">
      <formula>10.9</formula>
    </cfRule>
  </conditionalFormatting>
  <conditionalFormatting sqref="O44:O45">
    <cfRule type="cellIs" dxfId="4" priority="628" stopIfTrue="1" operator="greaterThan">
      <formula>10</formula>
    </cfRule>
    <cfRule type="cellIs" dxfId="6" priority="629" stopIfTrue="1" operator="lessThanOrEqual">
      <formula>10.9</formula>
    </cfRule>
  </conditionalFormatting>
  <conditionalFormatting sqref="P11:P45">
    <cfRule type="cellIs" dxfId="3" priority="1" stopIfTrue="1" operator="lessThan">
      <formula>11</formula>
    </cfRule>
    <cfRule type="cellIs" dxfId="4" priority="2" stopIfTrue="1" operator="greaterThan">
      <formula>10</formula>
    </cfRule>
    <cfRule type="cellIs" dxfId="5" priority="3" stopIfTrue="1" operator="lessThan">
      <formula>11</formula>
    </cfRule>
  </conditionalFormatting>
  <conditionalFormatting sqref="R26:R28">
    <cfRule type="cellIs" dxfId="3" priority="79" stopIfTrue="1" operator="lessThan">
      <formula>11</formula>
    </cfRule>
    <cfRule type="cellIs" dxfId="4" priority="80" stopIfTrue="1" operator="greaterThan">
      <formula>10</formula>
    </cfRule>
    <cfRule type="cellIs" dxfId="5" priority="81" stopIfTrue="1" operator="lessThan">
      <formula>11</formula>
    </cfRule>
  </conditionalFormatting>
  <conditionalFormatting sqref="T44:T45">
    <cfRule type="cellIs" dxfId="3" priority="636" stopIfTrue="1" operator="lessThan">
      <formula>11</formula>
    </cfRule>
    <cfRule type="cellIs" dxfId="4" priority="637" stopIfTrue="1" operator="greaterThan">
      <formula>10</formula>
    </cfRule>
    <cfRule type="cellIs" dxfId="5" priority="638" stopIfTrue="1" operator="lessThan">
      <formula>11</formula>
    </cfRule>
  </conditionalFormatting>
  <conditionalFormatting sqref="V26:V28">
    <cfRule type="cellIs" dxfId="3" priority="76" stopIfTrue="1" operator="lessThan">
      <formula>11</formula>
    </cfRule>
    <cfRule type="cellIs" dxfId="4" priority="77" stopIfTrue="1" operator="greaterThan">
      <formula>10</formula>
    </cfRule>
    <cfRule type="cellIs" dxfId="5" priority="78" stopIfTrue="1" operator="lessThan">
      <formula>11</formula>
    </cfRule>
  </conditionalFormatting>
  <conditionalFormatting sqref="AB42:AB45">
    <cfRule type="cellIs" dxfId="4" priority="600" stopIfTrue="1" operator="greaterThan">
      <formula>10</formula>
    </cfRule>
    <cfRule type="cellIs" dxfId="6" priority="601" stopIfTrue="1" operator="lessThanOrEqual">
      <formula>10.9</formula>
    </cfRule>
    <cfRule type="cellIs" dxfId="3" priority="602" stopIfTrue="1" operator="lessThan">
      <formula>11</formula>
    </cfRule>
    <cfRule type="cellIs" dxfId="4" priority="603" stopIfTrue="1" operator="greaterThan">
      <formula>10</formula>
    </cfRule>
    <cfRule type="cellIs" dxfId="5" priority="604" stopIfTrue="1" operator="lessThan">
      <formula>11</formula>
    </cfRule>
  </conditionalFormatting>
  <conditionalFormatting sqref="AD44:AD45">
    <cfRule type="cellIs" dxfId="3" priority="660" stopIfTrue="1" operator="lessThan">
      <formula>11</formula>
    </cfRule>
    <cfRule type="cellIs" dxfId="4" priority="661" stopIfTrue="1" operator="greaterThan">
      <formula>10</formula>
    </cfRule>
    <cfRule type="cellIs" dxfId="5" priority="662" stopIfTrue="1" operator="lessThan">
      <formula>11</formula>
    </cfRule>
    <cfRule type="cellIs" dxfId="3" priority="663" stopIfTrue="1" operator="lessThan">
      <formula>11</formula>
    </cfRule>
    <cfRule type="cellIs" dxfId="4" priority="664" stopIfTrue="1" operator="greaterThan">
      <formula>10</formula>
    </cfRule>
    <cfRule type="cellIs" dxfId="5" priority="665" stopIfTrue="1" operator="lessThan">
      <formula>11</formula>
    </cfRule>
  </conditionalFormatting>
  <conditionalFormatting sqref="AE41:AE45">
    <cfRule type="cellIs" dxfId="7" priority="657" stopIfTrue="1" operator="lessThan">
      <formula>11</formula>
    </cfRule>
    <cfRule type="cellIs" dxfId="4" priority="658" stopIfTrue="1" operator="greaterThan">
      <formula>10</formula>
    </cfRule>
    <cfRule type="cellIs" dxfId="5" priority="659" stopIfTrue="1" operator="lessThan">
      <formula>11</formula>
    </cfRule>
  </conditionalFormatting>
  <conditionalFormatting sqref="AE44:AE45">
    <cfRule type="cellIs" dxfId="7" priority="654" stopIfTrue="1" operator="lessThan">
      <formula>11</formula>
    </cfRule>
    <cfRule type="cellIs" dxfId="4" priority="655" stopIfTrue="1" operator="greaterThan">
      <formula>10</formula>
    </cfRule>
    <cfRule type="cellIs" dxfId="5" priority="656" stopIfTrue="1" operator="lessThan">
      <formula>11</formula>
    </cfRule>
  </conditionalFormatting>
  <conditionalFormatting sqref="AP44:AP45">
    <cfRule type="cellIs" dxfId="4" priority="647" stopIfTrue="1" operator="greaterThan">
      <formula>10</formula>
    </cfRule>
    <cfRule type="cellIs" dxfId="6" priority="648" stopIfTrue="1" operator="lessThanOrEqual">
      <formula>10.9</formula>
    </cfRule>
  </conditionalFormatting>
  <conditionalFormatting sqref="E11:G24">
    <cfRule type="cellIs" dxfId="3" priority="29" stopIfTrue="1" operator="lessThan">
      <formula>11</formula>
    </cfRule>
    <cfRule type="cellIs" dxfId="4" priority="30" stopIfTrue="1" operator="greaterThan">
      <formula>10</formula>
    </cfRule>
    <cfRule type="cellIs" dxfId="5" priority="31" stopIfTrue="1" operator="lessThan">
      <formula>11</formula>
    </cfRule>
  </conditionalFormatting>
  <conditionalFormatting sqref="J11:L24">
    <cfRule type="cellIs" dxfId="3" priority="14" stopIfTrue="1" operator="lessThan">
      <formula>11</formula>
    </cfRule>
    <cfRule type="cellIs" dxfId="4" priority="15" stopIfTrue="1" operator="greaterThan">
      <formula>10</formula>
    </cfRule>
    <cfRule type="cellIs" dxfId="5" priority="16" stopIfTrue="1" operator="lessThan">
      <formula>11</formula>
    </cfRule>
  </conditionalFormatting>
  <conditionalFormatting sqref="S11:T24">
    <cfRule type="cellIs" dxfId="3" priority="4" stopIfTrue="1" operator="lessThan">
      <formula>11</formula>
    </cfRule>
    <cfRule type="cellIs" dxfId="4" priority="5" stopIfTrue="1" operator="greaterThan">
      <formula>10</formula>
    </cfRule>
    <cfRule type="cellIs" dxfId="5" priority="6" stopIfTrue="1" operator="lessThan">
      <formula>11</formula>
    </cfRule>
  </conditionalFormatting>
  <conditionalFormatting sqref="X11:AF28">
    <cfRule type="cellIs" dxfId="3" priority="52" stopIfTrue="1" operator="lessThan">
      <formula>11</formula>
    </cfRule>
    <cfRule type="cellIs" dxfId="4" priority="53" stopIfTrue="1" operator="greaterThan">
      <formula>10</formula>
    </cfRule>
    <cfRule type="cellIs" dxfId="5" priority="54" stopIfTrue="1" operator="lessThan">
      <formula>11</formula>
    </cfRule>
  </conditionalFormatting>
  <conditionalFormatting sqref="AH11:AK28">
    <cfRule type="cellIs" dxfId="3" priority="46" stopIfTrue="1" operator="lessThan">
      <formula>11</formula>
    </cfRule>
    <cfRule type="cellIs" dxfId="4" priority="47" stopIfTrue="1" operator="greaterThan">
      <formula>10</formula>
    </cfRule>
    <cfRule type="cellIs" dxfId="5" priority="48" stopIfTrue="1" operator="lessThan">
      <formula>11</formula>
    </cfRule>
  </conditionalFormatting>
  <conditionalFormatting sqref="AM11:AN28">
    <cfRule type="cellIs" dxfId="3" priority="43" stopIfTrue="1" operator="lessThan">
      <formula>11</formula>
    </cfRule>
    <cfRule type="cellIs" dxfId="5" priority="45" stopIfTrue="1" operator="lessThan">
      <formula>11</formula>
    </cfRule>
  </conditionalFormatting>
  <conditionalFormatting sqref="AM11:AN41">
    <cfRule type="cellIs" dxfId="4" priority="44" stopIfTrue="1" operator="greaterThan">
      <formula>10</formula>
    </cfRule>
  </conditionalFormatting>
  <conditionalFormatting sqref="E25:O25;Q25:V25">
    <cfRule type="cellIs" dxfId="3" priority="49" stopIfTrue="1" operator="lessThan">
      <formula>11</formula>
    </cfRule>
    <cfRule type="cellIs" dxfId="4" priority="50" stopIfTrue="1" operator="greaterThan">
      <formula>10</formula>
    </cfRule>
    <cfRule type="cellIs" dxfId="5" priority="51" stopIfTrue="1" operator="lessThan">
      <formula>11</formula>
    </cfRule>
  </conditionalFormatting>
  <conditionalFormatting sqref="E26:G45">
    <cfRule type="cellIs" dxfId="4" priority="97" stopIfTrue="1" operator="greaterThan">
      <formula>10</formula>
    </cfRule>
    <cfRule type="cellIs" dxfId="6" priority="98" stopIfTrue="1" operator="lessThanOrEqual">
      <formula>10.9</formula>
    </cfRule>
  </conditionalFormatting>
  <conditionalFormatting sqref="J26:L45">
    <cfRule type="cellIs" dxfId="4" priority="95" stopIfTrue="1" operator="greaterThan">
      <formula>10</formula>
    </cfRule>
    <cfRule type="cellIs" dxfId="6" priority="96" stopIfTrue="1" operator="lessThanOrEqual">
      <formula>10.9</formula>
    </cfRule>
  </conditionalFormatting>
  <conditionalFormatting sqref="N26:O28">
    <cfRule type="cellIs" dxfId="4" priority="86" stopIfTrue="1" operator="greaterThan">
      <formula>10</formula>
    </cfRule>
  </conditionalFormatting>
  <conditionalFormatting sqref="S26:T45">
    <cfRule type="cellIs" dxfId="4" priority="91" stopIfTrue="1" operator="greaterThan">
      <formula>10</formula>
    </cfRule>
    <cfRule type="cellIs" dxfId="6" priority="92" stopIfTrue="1" operator="lessThanOrEqual">
      <formula>10.9</formula>
    </cfRule>
  </conditionalFormatting>
  <conditionalFormatting sqref="AM29:AN41">
    <cfRule type="cellIs" dxfId="6" priority="550" stopIfTrue="1" operator="lessThanOrEqual">
      <formula>10.9</formula>
    </cfRule>
    <cfRule type="cellIs" dxfId="3" priority="551" stopIfTrue="1" operator="lessThan">
      <formula>11</formula>
    </cfRule>
    <cfRule type="cellIs" dxfId="5" priority="553" stopIfTrue="1" operator="lessThan">
      <formula>11</formula>
    </cfRule>
  </conditionalFormatting>
  <conditionalFormatting sqref="AM29:AN45">
    <cfRule type="cellIs" dxfId="4" priority="552" stopIfTrue="1" operator="greaterThan">
      <formula>10</formula>
    </cfRule>
  </conditionalFormatting>
  <conditionalFormatting sqref="AH42:AK45">
    <cfRule type="cellIs" dxfId="4" priority="613" stopIfTrue="1" operator="greaterThan">
      <formula>10</formula>
    </cfRule>
    <cfRule type="cellIs" dxfId="6" priority="614" stopIfTrue="1" operator="lessThanOrEqual">
      <formula>10.9</formula>
    </cfRule>
    <cfRule type="cellIs" dxfId="3" priority="615" stopIfTrue="1" operator="lessThan">
      <formula>11</formula>
    </cfRule>
    <cfRule type="cellIs" dxfId="4" priority="616" stopIfTrue="1" operator="greaterThan">
      <formula>10</formula>
    </cfRule>
    <cfRule type="cellIs" dxfId="5" priority="617" stopIfTrue="1" operator="lessThan">
      <formula>11</formula>
    </cfRule>
  </conditionalFormatting>
  <conditionalFormatting sqref="AM42:AN45">
    <cfRule type="cellIs" dxfId="6" priority="588" stopIfTrue="1" operator="lessThanOrEqual">
      <formula>10.9</formula>
    </cfRule>
    <cfRule type="cellIs" dxfId="3" priority="589" stopIfTrue="1" operator="lessThan">
      <formula>11</formula>
    </cfRule>
    <cfRule type="cellIs" dxfId="4" priority="590" stopIfTrue="1" operator="greaterThan">
      <formula>10</formula>
    </cfRule>
    <cfRule type="cellIs" dxfId="5" priority="591" stopIfTrue="1" operator="lessThan">
      <formula>11</formula>
    </cfRule>
  </conditionalFormatting>
  <conditionalFormatting sqref="Y44:AA45">
    <cfRule type="cellIs" dxfId="3" priority="651" stopIfTrue="1" operator="lessThan">
      <formula>11</formula>
    </cfRule>
    <cfRule type="cellIs" dxfId="4" priority="652" stopIfTrue="1" operator="greaterThan">
      <formula>10</formula>
    </cfRule>
    <cfRule type="cellIs" dxfId="5" priority="653" stopIfTrue="1" operator="lessThan">
      <formula>11</formula>
    </cfRule>
  </conditionalFormatting>
  <printOptions horizontalCentered="1"/>
  <pageMargins left="0.118110236220472" right="0.118110236220472" top="0.590551181102362" bottom="0.590551181102362" header="0" footer="0"/>
  <pageSetup paperSize="9" scale="75" orientation="landscape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H47"/>
  <sheetViews>
    <sheetView zoomScale="120" zoomScaleNormal="120" workbookViewId="0">
      <pane xSplit="2" ySplit="3" topLeftCell="BF4" activePane="bottomRight" state="frozen"/>
      <selection/>
      <selection pane="topRight"/>
      <selection pane="bottomLeft"/>
      <selection pane="bottomRight" activeCell="CS7" sqref="CS7:CS22"/>
    </sheetView>
  </sheetViews>
  <sheetFormatPr defaultColWidth="11.3714285714286" defaultRowHeight="13.5" customHeight="1"/>
  <cols>
    <col min="1" max="1" width="3.75238095238095" customWidth="1"/>
    <col min="2" max="2" width="43.3714285714286" customWidth="1"/>
    <col min="3" max="108" width="3.24761904761905" customWidth="1"/>
  </cols>
  <sheetData>
    <row r="2" s="254" customFormat="1" ht="48.75" customHeight="1" spans="2:2">
      <c r="B2" s="124" t="s">
        <v>210</v>
      </c>
    </row>
    <row r="4" ht="45.75" customHeight="1" spans="1:108">
      <c r="A4" s="125"/>
      <c r="B4" s="126" t="s">
        <v>211</v>
      </c>
      <c r="C4" s="127" t="s">
        <v>63</v>
      </c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63" t="s">
        <v>64</v>
      </c>
      <c r="S4" s="163"/>
      <c r="T4" s="163"/>
      <c r="U4" s="163"/>
      <c r="V4" s="163"/>
      <c r="W4" s="163"/>
      <c r="X4" s="163"/>
      <c r="Y4" s="163"/>
      <c r="Z4" s="163"/>
      <c r="AA4" s="163"/>
      <c r="AB4" s="163"/>
      <c r="AC4" s="163"/>
      <c r="AD4" s="163"/>
      <c r="AE4" s="163"/>
      <c r="AF4" s="163"/>
      <c r="AG4" s="163"/>
      <c r="AH4" s="163"/>
      <c r="AI4" s="163"/>
      <c r="AJ4" s="163"/>
      <c r="AK4" s="163"/>
      <c r="AL4" s="163"/>
      <c r="AM4" s="163"/>
      <c r="AN4" s="163"/>
      <c r="AO4" s="163"/>
      <c r="AP4" s="163"/>
      <c r="AQ4" s="163"/>
      <c r="AR4" s="163"/>
      <c r="AS4" s="163"/>
      <c r="AT4" s="163"/>
      <c r="AU4" s="163"/>
      <c r="AV4" s="163"/>
      <c r="AW4" s="163"/>
      <c r="AX4" s="163"/>
      <c r="AY4" s="163"/>
      <c r="AZ4" s="163"/>
      <c r="BA4" s="163"/>
      <c r="BB4" s="163"/>
      <c r="BC4" s="163"/>
      <c r="BD4" s="163"/>
      <c r="BE4" s="163"/>
      <c r="BF4" s="163"/>
      <c r="BG4" s="163"/>
      <c r="BH4" s="163"/>
      <c r="BI4" s="163"/>
      <c r="BJ4" s="163"/>
      <c r="BK4" s="163"/>
      <c r="BL4" s="163"/>
      <c r="BM4" s="163"/>
      <c r="BN4" s="163"/>
      <c r="BO4" s="163"/>
      <c r="BP4" s="163"/>
      <c r="BQ4" s="163"/>
      <c r="BR4" s="163"/>
      <c r="BS4" s="163"/>
      <c r="BT4" s="163"/>
      <c r="BU4" s="163"/>
      <c r="BV4" s="222"/>
      <c r="BW4" s="223" t="s">
        <v>65</v>
      </c>
      <c r="BX4" s="224"/>
      <c r="BY4" s="224"/>
      <c r="BZ4" s="224"/>
      <c r="CA4" s="224"/>
      <c r="CB4" s="224"/>
      <c r="CC4" s="224"/>
      <c r="CD4" s="224"/>
      <c r="CE4" s="224"/>
      <c r="CF4" s="224"/>
      <c r="CG4" s="224"/>
      <c r="CH4" s="224"/>
      <c r="CI4" s="224"/>
      <c r="CJ4" s="224"/>
      <c r="CK4" s="224"/>
      <c r="CL4" s="224"/>
      <c r="CM4" s="224"/>
      <c r="CN4" s="224"/>
      <c r="CO4" s="224"/>
      <c r="CP4" s="224"/>
      <c r="CQ4" s="224"/>
      <c r="CR4" s="224"/>
      <c r="CS4" s="224"/>
      <c r="CT4" s="224"/>
      <c r="CU4" s="224"/>
      <c r="CV4" s="224"/>
      <c r="CW4" s="224"/>
      <c r="CX4" s="224"/>
      <c r="CY4" s="224"/>
      <c r="CZ4" s="224"/>
      <c r="DA4" s="224"/>
      <c r="DB4" s="224"/>
      <c r="DC4" s="224"/>
      <c r="DD4" s="236"/>
    </row>
    <row r="5" ht="15" spans="1:109">
      <c r="A5" s="129" t="s">
        <v>66</v>
      </c>
      <c r="B5" s="130" t="s">
        <v>67</v>
      </c>
      <c r="C5" s="131" t="s">
        <v>68</v>
      </c>
      <c r="D5" s="132"/>
      <c r="E5" s="132"/>
      <c r="F5" s="132"/>
      <c r="G5" s="132"/>
      <c r="H5" s="133"/>
      <c r="I5" s="153" t="s">
        <v>69</v>
      </c>
      <c r="J5" s="154" t="s">
        <v>70</v>
      </c>
      <c r="K5" s="154"/>
      <c r="L5" s="154"/>
      <c r="M5" s="154"/>
      <c r="N5" s="154"/>
      <c r="O5" s="154"/>
      <c r="P5" s="154"/>
      <c r="Q5" s="164" t="s">
        <v>71</v>
      </c>
      <c r="R5" s="165" t="s">
        <v>72</v>
      </c>
      <c r="S5" s="166"/>
      <c r="T5" s="166"/>
      <c r="U5" s="166"/>
      <c r="V5" s="166"/>
      <c r="W5" s="166"/>
      <c r="X5" s="166"/>
      <c r="Y5" s="166"/>
      <c r="Z5" s="166"/>
      <c r="AA5" s="166"/>
      <c r="AB5" s="178" t="s">
        <v>73</v>
      </c>
      <c r="AC5" s="179" t="s">
        <v>74</v>
      </c>
      <c r="AD5" s="180"/>
      <c r="AE5" s="180"/>
      <c r="AF5" s="180"/>
      <c r="AG5" s="199"/>
      <c r="AH5" s="131" t="s">
        <v>75</v>
      </c>
      <c r="AI5" s="132"/>
      <c r="AJ5" s="132"/>
      <c r="AK5" s="132"/>
      <c r="AL5" s="132"/>
      <c r="AM5" s="132"/>
      <c r="AN5" s="132"/>
      <c r="AO5" s="133"/>
      <c r="AP5" s="180" t="s">
        <v>76</v>
      </c>
      <c r="AQ5" s="207" t="s">
        <v>77</v>
      </c>
      <c r="AR5" s="213"/>
      <c r="AS5" s="213"/>
      <c r="AT5" s="213"/>
      <c r="AU5" s="213"/>
      <c r="AV5" s="213"/>
      <c r="AW5" s="213"/>
      <c r="AX5" s="214"/>
      <c r="AY5" s="180" t="s">
        <v>78</v>
      </c>
      <c r="AZ5" s="165" t="s">
        <v>79</v>
      </c>
      <c r="BA5" s="166"/>
      <c r="BB5" s="166"/>
      <c r="BC5" s="166"/>
      <c r="BD5" s="166"/>
      <c r="BE5" s="166"/>
      <c r="BF5" s="166"/>
      <c r="BG5" s="166"/>
      <c r="BH5" s="166"/>
      <c r="BI5" s="180" t="s">
        <v>80</v>
      </c>
      <c r="BJ5" s="217" t="s">
        <v>81</v>
      </c>
      <c r="BK5" s="220"/>
      <c r="BL5" s="220"/>
      <c r="BM5" s="220"/>
      <c r="BN5" s="220"/>
      <c r="BO5" s="220"/>
      <c r="BP5" s="220"/>
      <c r="BQ5" s="221"/>
      <c r="BR5" s="180" t="s">
        <v>82</v>
      </c>
      <c r="BS5" s="179" t="s">
        <v>74</v>
      </c>
      <c r="BT5" s="180"/>
      <c r="BU5" s="180"/>
      <c r="BV5" s="180"/>
      <c r="BW5" s="199"/>
      <c r="BX5" s="207" t="s">
        <v>83</v>
      </c>
      <c r="BY5" s="213"/>
      <c r="BZ5" s="213"/>
      <c r="CA5" s="213"/>
      <c r="CB5" s="213"/>
      <c r="CC5" s="213"/>
      <c r="CD5" s="213"/>
      <c r="CE5" s="213"/>
      <c r="CF5" s="213"/>
      <c r="CG5" s="213"/>
      <c r="CH5" s="213"/>
      <c r="CI5" s="178" t="s">
        <v>84</v>
      </c>
      <c r="CJ5" s="165" t="s">
        <v>85</v>
      </c>
      <c r="CK5" s="166"/>
      <c r="CL5" s="166"/>
      <c r="CM5" s="166"/>
      <c r="CN5" s="166"/>
      <c r="CO5" s="166"/>
      <c r="CP5" s="166"/>
      <c r="CQ5" s="166"/>
      <c r="CR5" s="166"/>
      <c r="CS5" s="178" t="s">
        <v>86</v>
      </c>
      <c r="CT5" s="217"/>
      <c r="CU5" s="220"/>
      <c r="CV5" s="220"/>
      <c r="CW5" s="221"/>
      <c r="CX5" s="131" t="s">
        <v>87</v>
      </c>
      <c r="CY5" s="132"/>
      <c r="CZ5" s="132"/>
      <c r="DA5" s="132"/>
      <c r="DB5" s="132"/>
      <c r="DC5" s="132"/>
      <c r="DD5" s="178"/>
      <c r="DE5" t="s">
        <v>88</v>
      </c>
    </row>
    <row r="6" ht="42.8" spans="1:111">
      <c r="A6" s="134"/>
      <c r="B6" s="130"/>
      <c r="C6" s="135"/>
      <c r="D6" s="135">
        <f>K6-7</f>
        <v>45804</v>
      </c>
      <c r="E6" s="135">
        <f>D6+2</f>
        <v>45806</v>
      </c>
      <c r="F6" s="135">
        <f>D6+1</f>
        <v>45805</v>
      </c>
      <c r="G6" s="256" t="s">
        <v>212</v>
      </c>
      <c r="H6" s="136" t="s">
        <v>88</v>
      </c>
      <c r="I6" s="136" t="s">
        <v>89</v>
      </c>
      <c r="J6" s="155"/>
      <c r="K6" s="156">
        <v>45811</v>
      </c>
      <c r="L6" s="155">
        <f>K6+2</f>
        <v>45813</v>
      </c>
      <c r="M6" s="155">
        <f>K6+3</f>
        <v>45814</v>
      </c>
      <c r="N6" s="256" t="s">
        <v>212</v>
      </c>
      <c r="O6" s="181" t="s">
        <v>213</v>
      </c>
      <c r="P6" s="136" t="s">
        <v>88</v>
      </c>
      <c r="Q6" s="136" t="s">
        <v>89</v>
      </c>
      <c r="R6" s="167"/>
      <c r="S6" s="167">
        <f>K6+7</f>
        <v>45818</v>
      </c>
      <c r="T6" s="167">
        <f>S6+2</f>
        <v>45820</v>
      </c>
      <c r="U6" s="167">
        <f>S6+3</f>
        <v>45821</v>
      </c>
      <c r="V6" s="168" t="s">
        <v>214</v>
      </c>
      <c r="W6" s="168" t="s">
        <v>214</v>
      </c>
      <c r="X6" s="169" t="s">
        <v>215</v>
      </c>
      <c r="Y6" s="169" t="s">
        <v>215</v>
      </c>
      <c r="Z6" s="181" t="s">
        <v>216</v>
      </c>
      <c r="AA6" s="136" t="s">
        <v>88</v>
      </c>
      <c r="AB6" s="136" t="s">
        <v>89</v>
      </c>
      <c r="AC6" s="183"/>
      <c r="AD6" s="183"/>
      <c r="AE6" s="183"/>
      <c r="AF6" s="183"/>
      <c r="AG6" s="183"/>
      <c r="AH6" s="135"/>
      <c r="AI6" s="135">
        <f>S6+7</f>
        <v>45825</v>
      </c>
      <c r="AJ6" s="135">
        <f>AI6+2</f>
        <v>45827</v>
      </c>
      <c r="AK6" s="135">
        <f>AI6+3</f>
        <v>45828</v>
      </c>
      <c r="AL6" s="169" t="s">
        <v>217</v>
      </c>
      <c r="AM6" s="181" t="s">
        <v>218</v>
      </c>
      <c r="AN6" s="168" t="s">
        <v>219</v>
      </c>
      <c r="AO6" s="136" t="s">
        <v>88</v>
      </c>
      <c r="AP6" s="136" t="s">
        <v>89</v>
      </c>
      <c r="AQ6" s="155"/>
      <c r="AR6" s="155">
        <f>AI6+7</f>
        <v>45832</v>
      </c>
      <c r="AS6" s="155">
        <f>AR6+2</f>
        <v>45834</v>
      </c>
      <c r="AT6" s="155">
        <f>AR6+3</f>
        <v>45835</v>
      </c>
      <c r="AU6" s="168" t="s">
        <v>92</v>
      </c>
      <c r="AV6" s="169" t="s">
        <v>217</v>
      </c>
      <c r="AW6" s="169" t="s">
        <v>220</v>
      </c>
      <c r="AX6" s="136" t="s">
        <v>88</v>
      </c>
      <c r="AY6" s="136" t="s">
        <v>89</v>
      </c>
      <c r="AZ6" s="167"/>
      <c r="BA6" s="167">
        <f>AR6+7</f>
        <v>45839</v>
      </c>
      <c r="BB6" s="167">
        <f>BA6+2</f>
        <v>45841</v>
      </c>
      <c r="BC6" s="167">
        <f>BB6+1</f>
        <v>45842</v>
      </c>
      <c r="BD6" s="269" t="s">
        <v>221</v>
      </c>
      <c r="BE6" s="168" t="s">
        <v>92</v>
      </c>
      <c r="BF6" s="169" t="s">
        <v>217</v>
      </c>
      <c r="BG6" s="169" t="s">
        <v>218</v>
      </c>
      <c r="BH6" s="136" t="s">
        <v>88</v>
      </c>
      <c r="BI6" s="136" t="s">
        <v>89</v>
      </c>
      <c r="BJ6" s="183" t="s">
        <v>222</v>
      </c>
      <c r="BK6" s="183">
        <f>BA6+7</f>
        <v>45846</v>
      </c>
      <c r="BL6" s="183">
        <f>BK6+2</f>
        <v>45848</v>
      </c>
      <c r="BM6" s="183">
        <f>BL6+1</f>
        <v>45849</v>
      </c>
      <c r="BN6" s="181" t="s">
        <v>223</v>
      </c>
      <c r="BO6" s="169" t="s">
        <v>224</v>
      </c>
      <c r="BP6" s="168" t="s">
        <v>92</v>
      </c>
      <c r="BQ6" s="136" t="s">
        <v>88</v>
      </c>
      <c r="BR6" s="136" t="s">
        <v>89</v>
      </c>
      <c r="BS6" s="135"/>
      <c r="BT6" s="135"/>
      <c r="BU6" s="135"/>
      <c r="BV6" s="135"/>
      <c r="BW6" s="135"/>
      <c r="BX6" s="155"/>
      <c r="BY6" s="155">
        <f>BK6+7</f>
        <v>45853</v>
      </c>
      <c r="BZ6" s="208">
        <f>BY6+2</f>
        <v>45855</v>
      </c>
      <c r="CA6" s="208">
        <f>BY6+3</f>
        <v>45856</v>
      </c>
      <c r="CB6" s="256" t="s">
        <v>223</v>
      </c>
      <c r="CC6" s="256" t="s">
        <v>224</v>
      </c>
      <c r="CD6" s="256" t="s">
        <v>225</v>
      </c>
      <c r="CE6" s="169" t="s">
        <v>226</v>
      </c>
      <c r="CF6" s="168" t="s">
        <v>92</v>
      </c>
      <c r="CG6" s="181" t="s">
        <v>227</v>
      </c>
      <c r="CH6" s="136" t="s">
        <v>88</v>
      </c>
      <c r="CI6" s="136" t="s">
        <v>89</v>
      </c>
      <c r="CJ6" s="167"/>
      <c r="CK6" s="167">
        <f>BY6+7</f>
        <v>45860</v>
      </c>
      <c r="CL6" s="167">
        <f>CK6+2</f>
        <v>45862</v>
      </c>
      <c r="CM6" s="167">
        <f>CL6+1</f>
        <v>45863</v>
      </c>
      <c r="CN6" s="256" t="s">
        <v>93</v>
      </c>
      <c r="CO6" s="256" t="s">
        <v>90</v>
      </c>
      <c r="CP6" s="168" t="s">
        <v>92</v>
      </c>
      <c r="CQ6" s="181" t="s">
        <v>228</v>
      </c>
      <c r="CR6" s="136" t="s">
        <v>88</v>
      </c>
      <c r="CS6" s="136" t="s">
        <v>89</v>
      </c>
      <c r="CT6" s="183"/>
      <c r="CU6" s="183"/>
      <c r="CV6" s="183"/>
      <c r="CW6" s="183"/>
      <c r="CX6" s="135"/>
      <c r="CY6" s="135">
        <f>CK6+7</f>
        <v>45867</v>
      </c>
      <c r="CZ6" s="135">
        <f>CY6+2</f>
        <v>45869</v>
      </c>
      <c r="DA6" s="135">
        <f>CZ6+1</f>
        <v>45870</v>
      </c>
      <c r="DB6" s="135"/>
      <c r="DC6" s="136" t="s">
        <v>88</v>
      </c>
      <c r="DD6" s="136" t="s">
        <v>89</v>
      </c>
      <c r="DF6" s="168" t="s">
        <v>92</v>
      </c>
      <c r="DG6" s="168" t="s">
        <v>92</v>
      </c>
    </row>
    <row r="7" ht="15" spans="1:112">
      <c r="A7" s="137">
        <v>1</v>
      </c>
      <c r="B7" s="138" t="str">
        <f>'RELACION ESTUDIANTES - 2022'!C6</f>
        <v>CALDERON FALCON DORIAM JOSUE</v>
      </c>
      <c r="C7" s="139"/>
      <c r="D7" s="139" t="s">
        <v>100</v>
      </c>
      <c r="E7" s="139" t="s">
        <v>101</v>
      </c>
      <c r="F7" s="139" t="s">
        <v>101</v>
      </c>
      <c r="G7" s="257"/>
      <c r="H7" s="139" t="str">
        <f t="shared" ref="H7:H24" si="0">P7</f>
        <v>AD</v>
      </c>
      <c r="I7" s="158" t="s">
        <v>101</v>
      </c>
      <c r="J7" s="159"/>
      <c r="K7" s="159" t="s">
        <v>100</v>
      </c>
      <c r="L7" s="159" t="s">
        <v>102</v>
      </c>
      <c r="M7" s="159" t="s">
        <v>101</v>
      </c>
      <c r="N7" s="260"/>
      <c r="O7" s="184"/>
      <c r="P7" s="159" t="str">
        <f t="shared" ref="P7:P24" si="1">AA7</f>
        <v>AD</v>
      </c>
      <c r="Q7" s="158" t="s">
        <v>101</v>
      </c>
      <c r="R7" s="170"/>
      <c r="S7" s="171" t="s">
        <v>100</v>
      </c>
      <c r="T7" s="171" t="s">
        <v>100</v>
      </c>
      <c r="U7" s="171" t="s">
        <v>102</v>
      </c>
      <c r="V7" s="172"/>
      <c r="W7" s="172"/>
      <c r="X7" s="173"/>
      <c r="Y7" s="264"/>
      <c r="Z7" s="184"/>
      <c r="AA7" s="170" t="str">
        <f t="shared" ref="AA7:AA24" si="2">AO7</f>
        <v>AD</v>
      </c>
      <c r="AB7" s="158" t="s">
        <v>101</v>
      </c>
      <c r="AC7" s="186"/>
      <c r="AD7" s="187"/>
      <c r="AE7" s="187"/>
      <c r="AF7" s="187"/>
      <c r="AG7" s="186"/>
      <c r="AH7" s="139"/>
      <c r="AI7" s="266" t="s">
        <v>100</v>
      </c>
      <c r="AJ7" s="148" t="s">
        <v>100</v>
      </c>
      <c r="AK7" s="148" t="s">
        <v>100</v>
      </c>
      <c r="AL7" s="173"/>
      <c r="AM7" s="184"/>
      <c r="AN7" s="172"/>
      <c r="AO7" s="148" t="str">
        <f t="shared" ref="AO7:AO24" si="3">AX7</f>
        <v>AD</v>
      </c>
      <c r="AP7" s="158" t="s">
        <v>100</v>
      </c>
      <c r="AQ7" s="159"/>
      <c r="AR7" s="159" t="s">
        <v>100</v>
      </c>
      <c r="AS7" s="159" t="s">
        <v>101</v>
      </c>
      <c r="AT7" s="159" t="s">
        <v>101</v>
      </c>
      <c r="AU7" s="172" t="s">
        <v>101</v>
      </c>
      <c r="AV7" s="267"/>
      <c r="AW7" s="173"/>
      <c r="AX7" s="159" t="str">
        <f t="shared" ref="AX7:AX24" si="4">BH7</f>
        <v>AD</v>
      </c>
      <c r="AY7" s="158" t="s">
        <v>101</v>
      </c>
      <c r="AZ7" s="171"/>
      <c r="BA7" s="171" t="s">
        <v>102</v>
      </c>
      <c r="BB7" s="171" t="s">
        <v>100</v>
      </c>
      <c r="BC7" s="171" t="s">
        <v>101</v>
      </c>
      <c r="BD7" s="171"/>
      <c r="BE7" s="172" t="s">
        <v>101</v>
      </c>
      <c r="BF7" s="267"/>
      <c r="BG7" s="267"/>
      <c r="BH7" s="171" t="str">
        <f t="shared" ref="BH7:BH24" si="5">BQ7</f>
        <v>AD</v>
      </c>
      <c r="BI7" s="158" t="s">
        <v>101</v>
      </c>
      <c r="BJ7" s="190"/>
      <c r="BK7" s="190" t="s">
        <v>100</v>
      </c>
      <c r="BL7" s="189" t="s">
        <v>100</v>
      </c>
      <c r="BM7" s="189" t="s">
        <v>100</v>
      </c>
      <c r="BN7" s="184"/>
      <c r="BO7" s="173"/>
      <c r="BP7" s="172" t="s">
        <v>101</v>
      </c>
      <c r="BQ7" s="189" t="str">
        <f t="shared" ref="BQ7:BQ22" si="6">CH7</f>
        <v>AD</v>
      </c>
      <c r="BR7" s="158" t="s">
        <v>100</v>
      </c>
      <c r="BS7" s="139"/>
      <c r="BT7" s="139"/>
      <c r="BU7" s="139"/>
      <c r="BV7" s="139"/>
      <c r="BW7" s="139"/>
      <c r="BX7" s="159"/>
      <c r="BY7" s="225" t="s">
        <v>100</v>
      </c>
      <c r="BZ7" s="225" t="s">
        <v>101</v>
      </c>
      <c r="CA7" s="225" t="s">
        <v>100</v>
      </c>
      <c r="CB7" s="257"/>
      <c r="CC7" s="257"/>
      <c r="CD7" s="257"/>
      <c r="CE7" s="173"/>
      <c r="CF7" s="172" t="s">
        <v>101</v>
      </c>
      <c r="CG7" s="271"/>
      <c r="CH7" s="225" t="str">
        <f>CR7</f>
        <v>AD</v>
      </c>
      <c r="CI7" s="158" t="s">
        <v>100</v>
      </c>
      <c r="CJ7" s="171"/>
      <c r="CK7" s="230" t="s">
        <v>100</v>
      </c>
      <c r="CL7" s="230"/>
      <c r="CM7" s="230"/>
      <c r="CN7" s="274"/>
      <c r="CO7" s="274"/>
      <c r="CP7" s="172" t="s">
        <v>101</v>
      </c>
      <c r="CQ7" s="184"/>
      <c r="CR7" s="232" t="str">
        <f>DE7</f>
        <v>AD</v>
      </c>
      <c r="CS7" s="158" t="s">
        <v>100</v>
      </c>
      <c r="CT7" s="186"/>
      <c r="CU7" s="186"/>
      <c r="CV7" s="186"/>
      <c r="CW7" s="186"/>
      <c r="CX7" s="139"/>
      <c r="CY7" s="139"/>
      <c r="CZ7" s="139"/>
      <c r="DA7" s="139"/>
      <c r="DB7" s="139"/>
      <c r="DC7" s="139"/>
      <c r="DD7" s="139"/>
      <c r="DE7" s="237" t="s">
        <v>100</v>
      </c>
      <c r="DF7" s="172" t="s">
        <v>102</v>
      </c>
      <c r="DG7" s="172" t="s">
        <v>100</v>
      </c>
      <c r="DH7" t="s">
        <v>101</v>
      </c>
    </row>
    <row r="8" ht="15" spans="1:112">
      <c r="A8" s="137">
        <v>2</v>
      </c>
      <c r="B8" s="138" t="str">
        <f>'RELACION ESTUDIANTES - 2022'!C7</f>
        <v>CAMPOS PALOMINO MAXIMO NASSIR</v>
      </c>
      <c r="C8" s="139"/>
      <c r="D8" s="139" t="s">
        <v>105</v>
      </c>
      <c r="E8" s="139" t="s">
        <v>101</v>
      </c>
      <c r="F8" s="139" t="s">
        <v>102</v>
      </c>
      <c r="G8" s="257"/>
      <c r="H8" s="139" t="str">
        <f t="shared" si="0"/>
        <v>B</v>
      </c>
      <c r="I8" s="158" t="s">
        <v>102</v>
      </c>
      <c r="J8" s="159"/>
      <c r="K8" s="159" t="s">
        <v>105</v>
      </c>
      <c r="L8" s="159" t="s">
        <v>105</v>
      </c>
      <c r="M8" s="159" t="s">
        <v>101</v>
      </c>
      <c r="N8" s="260"/>
      <c r="O8" s="184"/>
      <c r="P8" s="159" t="str">
        <f t="shared" si="1"/>
        <v>B</v>
      </c>
      <c r="Q8" s="158" t="s">
        <v>102</v>
      </c>
      <c r="R8" s="170"/>
      <c r="S8" s="171" t="s">
        <v>101</v>
      </c>
      <c r="T8" s="171" t="s">
        <v>101</v>
      </c>
      <c r="U8" s="171" t="s">
        <v>102</v>
      </c>
      <c r="V8" s="172"/>
      <c r="W8" s="172"/>
      <c r="X8" s="173"/>
      <c r="Y8" s="264"/>
      <c r="Z8" s="184"/>
      <c r="AA8" s="170" t="str">
        <f t="shared" si="2"/>
        <v>B</v>
      </c>
      <c r="AB8" s="158" t="s">
        <v>101</v>
      </c>
      <c r="AC8" s="189"/>
      <c r="AD8" s="190"/>
      <c r="AE8" s="190"/>
      <c r="AF8" s="190"/>
      <c r="AG8" s="189"/>
      <c r="AH8" s="139"/>
      <c r="AI8" s="266" t="s">
        <v>102</v>
      </c>
      <c r="AJ8" s="148" t="s">
        <v>101</v>
      </c>
      <c r="AK8" s="148" t="s">
        <v>105</v>
      </c>
      <c r="AL8" s="173"/>
      <c r="AM8" s="184"/>
      <c r="AN8" s="172"/>
      <c r="AO8" s="148" t="str">
        <f t="shared" si="3"/>
        <v>B</v>
      </c>
      <c r="AP8" s="158" t="s">
        <v>102</v>
      </c>
      <c r="AQ8" s="159"/>
      <c r="AR8" s="159" t="s">
        <v>101</v>
      </c>
      <c r="AS8" s="159" t="s">
        <v>105</v>
      </c>
      <c r="AT8" s="159" t="s">
        <v>102</v>
      </c>
      <c r="AU8" s="172" t="s">
        <v>102</v>
      </c>
      <c r="AV8" s="267"/>
      <c r="AW8" s="173"/>
      <c r="AX8" s="159" t="str">
        <f t="shared" si="4"/>
        <v>B</v>
      </c>
      <c r="AY8" s="158" t="s">
        <v>102</v>
      </c>
      <c r="AZ8" s="171"/>
      <c r="BA8" s="171" t="s">
        <v>105</v>
      </c>
      <c r="BB8" s="171" t="s">
        <v>105</v>
      </c>
      <c r="BC8" s="171" t="s">
        <v>105</v>
      </c>
      <c r="BD8" s="171"/>
      <c r="BE8" s="172" t="s">
        <v>102</v>
      </c>
      <c r="BF8" s="267"/>
      <c r="BG8" s="267"/>
      <c r="BH8" s="171" t="str">
        <f t="shared" si="5"/>
        <v>B</v>
      </c>
      <c r="BI8" s="158" t="s">
        <v>105</v>
      </c>
      <c r="BJ8" s="190"/>
      <c r="BK8" s="190" t="s">
        <v>100</v>
      </c>
      <c r="BL8" s="189" t="s">
        <v>105</v>
      </c>
      <c r="BM8" s="189" t="s">
        <v>101</v>
      </c>
      <c r="BN8" s="184"/>
      <c r="BO8" s="173"/>
      <c r="BP8" s="172" t="s">
        <v>102</v>
      </c>
      <c r="BQ8" s="189" t="str">
        <f t="shared" si="6"/>
        <v>B</v>
      </c>
      <c r="BR8" s="158" t="s">
        <v>102</v>
      </c>
      <c r="BS8" s="148"/>
      <c r="BT8" s="148"/>
      <c r="BU8" s="148"/>
      <c r="BV8" s="148"/>
      <c r="BW8" s="148"/>
      <c r="BX8" s="159"/>
      <c r="BY8" s="225" t="s">
        <v>100</v>
      </c>
      <c r="BZ8" s="225" t="s">
        <v>101</v>
      </c>
      <c r="CA8" s="225"/>
      <c r="CB8" s="257"/>
      <c r="CC8" s="257"/>
      <c r="CD8" s="257"/>
      <c r="CE8" s="173"/>
      <c r="CF8" s="172" t="s">
        <v>102</v>
      </c>
      <c r="CG8" s="271"/>
      <c r="CH8" s="225" t="str">
        <f t="shared" ref="CH8:CH24" si="7">CR8</f>
        <v>B</v>
      </c>
      <c r="CI8" s="158" t="s">
        <v>101</v>
      </c>
      <c r="CJ8" s="171"/>
      <c r="CK8" s="230" t="s">
        <v>102</v>
      </c>
      <c r="CL8" s="230"/>
      <c r="CM8" s="230"/>
      <c r="CN8" s="274"/>
      <c r="CO8" s="274"/>
      <c r="CP8" s="172" t="s">
        <v>102</v>
      </c>
      <c r="CQ8" s="184"/>
      <c r="CR8" s="232" t="str">
        <f t="shared" ref="CR8:CR24" si="8">DE8</f>
        <v>B</v>
      </c>
      <c r="CS8" s="158" t="s">
        <v>102</v>
      </c>
      <c r="CT8" s="186"/>
      <c r="CU8" s="186"/>
      <c r="CV8" s="186"/>
      <c r="CW8" s="186"/>
      <c r="CX8" s="139"/>
      <c r="CY8" s="139"/>
      <c r="CZ8" s="139"/>
      <c r="DA8" s="139"/>
      <c r="DB8" s="139"/>
      <c r="DC8" s="139"/>
      <c r="DD8" s="139"/>
      <c r="DE8" s="237" t="s">
        <v>102</v>
      </c>
      <c r="DF8" s="172" t="s">
        <v>105</v>
      </c>
      <c r="DG8" s="172" t="s">
        <v>100</v>
      </c>
      <c r="DH8" t="s">
        <v>102</v>
      </c>
    </row>
    <row r="9" s="255" customFormat="1" ht="15" spans="1:112">
      <c r="A9" s="258">
        <v>3</v>
      </c>
      <c r="B9" s="138" t="str">
        <f>'RELACION ESTUDIANTES - 2022'!C8</f>
        <v>CHUQUIZUTA VALENCIA FRANKLIN YAZID</v>
      </c>
      <c r="C9" s="139"/>
      <c r="D9" s="139" t="s">
        <v>105</v>
      </c>
      <c r="E9" s="139" t="s">
        <v>101</v>
      </c>
      <c r="F9" s="139" t="s">
        <v>102</v>
      </c>
      <c r="G9" s="257"/>
      <c r="H9" s="139" t="str">
        <f t="shared" si="0"/>
        <v>B</v>
      </c>
      <c r="I9" s="158" t="s">
        <v>102</v>
      </c>
      <c r="J9" s="159"/>
      <c r="K9" s="159" t="s">
        <v>100</v>
      </c>
      <c r="L9" s="159" t="s">
        <v>100</v>
      </c>
      <c r="M9" s="159" t="s">
        <v>105</v>
      </c>
      <c r="N9" s="260"/>
      <c r="O9" s="184"/>
      <c r="P9" s="159" t="str">
        <f t="shared" si="1"/>
        <v>B</v>
      </c>
      <c r="Q9" s="158" t="s">
        <v>102</v>
      </c>
      <c r="R9" s="170"/>
      <c r="S9" s="171" t="s">
        <v>100</v>
      </c>
      <c r="T9" s="171" t="s">
        <v>101</v>
      </c>
      <c r="U9" s="171" t="s">
        <v>102</v>
      </c>
      <c r="V9" s="172"/>
      <c r="W9" s="172"/>
      <c r="X9" s="173"/>
      <c r="Y9" s="264"/>
      <c r="Z9" s="184"/>
      <c r="AA9" s="170" t="str">
        <f t="shared" si="2"/>
        <v>B</v>
      </c>
      <c r="AB9" s="158" t="s">
        <v>101</v>
      </c>
      <c r="AC9" s="189"/>
      <c r="AD9" s="190"/>
      <c r="AE9" s="190"/>
      <c r="AF9" s="190"/>
      <c r="AG9" s="189"/>
      <c r="AH9" s="139"/>
      <c r="AI9" s="266" t="s">
        <v>105</v>
      </c>
      <c r="AJ9" s="148" t="s">
        <v>105</v>
      </c>
      <c r="AK9" s="148" t="s">
        <v>105</v>
      </c>
      <c r="AL9" s="173"/>
      <c r="AM9" s="184"/>
      <c r="AN9" s="172"/>
      <c r="AO9" s="148" t="str">
        <f t="shared" si="3"/>
        <v>B</v>
      </c>
      <c r="AP9" s="158" t="s">
        <v>105</v>
      </c>
      <c r="AQ9" s="159"/>
      <c r="AR9" s="159" t="s">
        <v>105</v>
      </c>
      <c r="AS9" s="159" t="s">
        <v>101</v>
      </c>
      <c r="AT9" s="159" t="s">
        <v>102</v>
      </c>
      <c r="AU9" s="172" t="s">
        <v>102</v>
      </c>
      <c r="AV9" s="267"/>
      <c r="AW9" s="173"/>
      <c r="AX9" s="159" t="str">
        <f t="shared" si="4"/>
        <v>B</v>
      </c>
      <c r="AY9" s="158" t="s">
        <v>102</v>
      </c>
      <c r="AZ9" s="171"/>
      <c r="BA9" s="171" t="s">
        <v>105</v>
      </c>
      <c r="BB9" s="171" t="s">
        <v>101</v>
      </c>
      <c r="BC9" s="171" t="s">
        <v>105</v>
      </c>
      <c r="BD9" s="171"/>
      <c r="BE9" s="172" t="s">
        <v>102</v>
      </c>
      <c r="BF9" s="267"/>
      <c r="BG9" s="267"/>
      <c r="BH9" s="171" t="str">
        <f t="shared" si="5"/>
        <v>B</v>
      </c>
      <c r="BI9" s="158" t="s">
        <v>105</v>
      </c>
      <c r="BJ9" s="190"/>
      <c r="BK9" s="190" t="s">
        <v>105</v>
      </c>
      <c r="BL9" s="189" t="s">
        <v>105</v>
      </c>
      <c r="BM9" s="189" t="s">
        <v>101</v>
      </c>
      <c r="BN9" s="184"/>
      <c r="BO9" s="173"/>
      <c r="BP9" s="172" t="s">
        <v>102</v>
      </c>
      <c r="BQ9" s="189" t="str">
        <f t="shared" si="6"/>
        <v>B</v>
      </c>
      <c r="BR9" s="158" t="s">
        <v>102</v>
      </c>
      <c r="BS9" s="148"/>
      <c r="BT9" s="148"/>
      <c r="BU9" s="148"/>
      <c r="BV9" s="148"/>
      <c r="BW9" s="148"/>
      <c r="BX9" s="159"/>
      <c r="BY9" s="225" t="s">
        <v>102</v>
      </c>
      <c r="BZ9" s="225" t="s">
        <v>101</v>
      </c>
      <c r="CA9" s="225"/>
      <c r="CB9" s="257"/>
      <c r="CC9" s="257"/>
      <c r="CD9" s="257"/>
      <c r="CE9" s="173"/>
      <c r="CF9" s="172" t="s">
        <v>102</v>
      </c>
      <c r="CG9" s="271"/>
      <c r="CH9" s="225" t="str">
        <f t="shared" si="7"/>
        <v>B</v>
      </c>
      <c r="CI9" s="158" t="s">
        <v>102</v>
      </c>
      <c r="CJ9" s="171"/>
      <c r="CK9" s="230" t="s">
        <v>105</v>
      </c>
      <c r="CL9" s="230"/>
      <c r="CM9" s="230"/>
      <c r="CN9" s="274"/>
      <c r="CO9" s="274"/>
      <c r="CP9" s="172" t="s">
        <v>102</v>
      </c>
      <c r="CQ9" s="184"/>
      <c r="CR9" s="232" t="str">
        <f t="shared" si="8"/>
        <v>B</v>
      </c>
      <c r="CS9" s="158" t="s">
        <v>102</v>
      </c>
      <c r="CT9" s="186"/>
      <c r="CU9" s="186"/>
      <c r="CV9" s="186"/>
      <c r="CW9" s="186"/>
      <c r="CX9" s="139"/>
      <c r="CY9" s="139"/>
      <c r="CZ9" s="139"/>
      <c r="DA9" s="139"/>
      <c r="DB9" s="139"/>
      <c r="DC9" s="139"/>
      <c r="DD9" s="139"/>
      <c r="DE9" s="237" t="s">
        <v>102</v>
      </c>
      <c r="DF9" s="172" t="s">
        <v>105</v>
      </c>
      <c r="DG9" s="172" t="s">
        <v>100</v>
      </c>
      <c r="DH9" s="255" t="s">
        <v>102</v>
      </c>
    </row>
    <row r="10" ht="15" spans="1:112">
      <c r="A10" s="137">
        <v>4</v>
      </c>
      <c r="B10" s="138" t="str">
        <f>'RELACION ESTUDIANTES - 2022'!C9</f>
        <v>COTAQUISPE GALVEZ YOJAN ANDRES</v>
      </c>
      <c r="C10" s="139"/>
      <c r="D10" s="139" t="s">
        <v>102</v>
      </c>
      <c r="E10" s="139" t="s">
        <v>102</v>
      </c>
      <c r="F10" s="139" t="s">
        <v>102</v>
      </c>
      <c r="G10" s="257"/>
      <c r="H10" s="139" t="str">
        <f t="shared" si="0"/>
        <v>A</v>
      </c>
      <c r="I10" s="158" t="s">
        <v>102</v>
      </c>
      <c r="J10" s="159"/>
      <c r="K10" s="159" t="s">
        <v>102</v>
      </c>
      <c r="L10" s="159" t="s">
        <v>105</v>
      </c>
      <c r="M10" s="159" t="s">
        <v>102</v>
      </c>
      <c r="N10" s="260"/>
      <c r="O10" s="184"/>
      <c r="P10" s="159" t="str">
        <f t="shared" si="1"/>
        <v>A</v>
      </c>
      <c r="Q10" s="158" t="s">
        <v>102</v>
      </c>
      <c r="R10" s="170"/>
      <c r="S10" s="171" t="s">
        <v>101</v>
      </c>
      <c r="T10" s="171" t="s">
        <v>102</v>
      </c>
      <c r="U10" s="171" t="s">
        <v>102</v>
      </c>
      <c r="V10" s="172"/>
      <c r="W10" s="172"/>
      <c r="X10" s="173"/>
      <c r="Y10" s="264"/>
      <c r="Z10" s="184"/>
      <c r="AA10" s="170" t="str">
        <f t="shared" si="2"/>
        <v>A</v>
      </c>
      <c r="AB10" s="158" t="s">
        <v>101</v>
      </c>
      <c r="AC10" s="189"/>
      <c r="AD10" s="190"/>
      <c r="AE10" s="190"/>
      <c r="AF10" s="190"/>
      <c r="AG10" s="189"/>
      <c r="AH10" s="139"/>
      <c r="AI10" s="266" t="s">
        <v>102</v>
      </c>
      <c r="AJ10" s="148" t="s">
        <v>102</v>
      </c>
      <c r="AK10" s="148" t="s">
        <v>102</v>
      </c>
      <c r="AL10" s="173"/>
      <c r="AM10" s="184"/>
      <c r="AN10" s="172"/>
      <c r="AO10" s="148" t="str">
        <f t="shared" si="3"/>
        <v>A</v>
      </c>
      <c r="AP10" s="158" t="s">
        <v>102</v>
      </c>
      <c r="AQ10" s="159"/>
      <c r="AR10" s="159" t="s">
        <v>101</v>
      </c>
      <c r="AS10" s="159" t="s">
        <v>101</v>
      </c>
      <c r="AT10" s="159" t="s">
        <v>101</v>
      </c>
      <c r="AU10" s="172" t="s">
        <v>102</v>
      </c>
      <c r="AV10" s="267"/>
      <c r="AW10" s="173"/>
      <c r="AX10" s="159" t="str">
        <f t="shared" si="4"/>
        <v>A</v>
      </c>
      <c r="AY10" s="158" t="s">
        <v>101</v>
      </c>
      <c r="AZ10" s="171"/>
      <c r="BA10" s="171" t="s">
        <v>102</v>
      </c>
      <c r="BB10" s="171" t="s">
        <v>101</v>
      </c>
      <c r="BC10" s="171" t="s">
        <v>101</v>
      </c>
      <c r="BD10" s="171"/>
      <c r="BE10" s="172" t="s">
        <v>102</v>
      </c>
      <c r="BF10" s="267"/>
      <c r="BG10" s="267"/>
      <c r="BH10" s="171" t="str">
        <f t="shared" si="5"/>
        <v>A</v>
      </c>
      <c r="BI10" s="158" t="s">
        <v>101</v>
      </c>
      <c r="BJ10" s="190"/>
      <c r="BK10" s="190" t="s">
        <v>101</v>
      </c>
      <c r="BL10" s="189" t="s">
        <v>101</v>
      </c>
      <c r="BM10" s="189" t="s">
        <v>102</v>
      </c>
      <c r="BN10" s="184"/>
      <c r="BO10" s="173"/>
      <c r="BP10" s="172" t="s">
        <v>102</v>
      </c>
      <c r="BQ10" s="189" t="str">
        <f t="shared" si="6"/>
        <v>A</v>
      </c>
      <c r="BR10" s="158" t="s">
        <v>101</v>
      </c>
      <c r="BS10" s="148"/>
      <c r="BT10" s="148"/>
      <c r="BU10" s="148"/>
      <c r="BV10" s="148"/>
      <c r="BW10" s="148"/>
      <c r="BX10" s="159"/>
      <c r="BY10" s="225" t="s">
        <v>105</v>
      </c>
      <c r="BZ10" s="225" t="s">
        <v>102</v>
      </c>
      <c r="CA10" s="225" t="s">
        <v>100</v>
      </c>
      <c r="CB10" s="257"/>
      <c r="CC10" s="257"/>
      <c r="CD10" s="257"/>
      <c r="CE10" s="173"/>
      <c r="CF10" s="172" t="s">
        <v>102</v>
      </c>
      <c r="CG10" s="271"/>
      <c r="CH10" s="225" t="str">
        <f t="shared" si="7"/>
        <v>A</v>
      </c>
      <c r="CI10" s="158" t="s">
        <v>102</v>
      </c>
      <c r="CJ10" s="171"/>
      <c r="CK10" s="230" t="s">
        <v>105</v>
      </c>
      <c r="CL10" s="230"/>
      <c r="CM10" s="230"/>
      <c r="CN10" s="274"/>
      <c r="CO10" s="274"/>
      <c r="CP10" s="172" t="s">
        <v>102</v>
      </c>
      <c r="CQ10" s="184"/>
      <c r="CR10" s="232" t="str">
        <f t="shared" si="8"/>
        <v>A</v>
      </c>
      <c r="CS10" s="158" t="s">
        <v>102</v>
      </c>
      <c r="CT10" s="186"/>
      <c r="CU10" s="186"/>
      <c r="CV10" s="186"/>
      <c r="CW10" s="186"/>
      <c r="CX10" s="139"/>
      <c r="CY10" s="139"/>
      <c r="CZ10" s="139"/>
      <c r="DA10" s="139"/>
      <c r="DB10" s="139"/>
      <c r="DC10" s="139"/>
      <c r="DD10" s="139"/>
      <c r="DE10" s="237" t="s">
        <v>101</v>
      </c>
      <c r="DF10" s="172" t="s">
        <v>105</v>
      </c>
      <c r="DG10" s="172" t="s">
        <v>100</v>
      </c>
      <c r="DH10" t="s">
        <v>102</v>
      </c>
    </row>
    <row r="11" ht="15" spans="1:112">
      <c r="A11" s="137">
        <v>5</v>
      </c>
      <c r="B11" s="138" t="str">
        <f>'RELACION ESTUDIANTES - 2022'!C10</f>
        <v>HUAMANI PAUCAR LUIS ALFREDO</v>
      </c>
      <c r="C11" s="139"/>
      <c r="D11" s="139" t="s">
        <v>102</v>
      </c>
      <c r="E11" s="139" t="s">
        <v>101</v>
      </c>
      <c r="F11" s="139" t="s">
        <v>100</v>
      </c>
      <c r="G11" s="257"/>
      <c r="H11" s="139" t="str">
        <f t="shared" si="0"/>
        <v>AD</v>
      </c>
      <c r="I11" s="158" t="s">
        <v>101</v>
      </c>
      <c r="J11" s="159"/>
      <c r="K11" s="159" t="s">
        <v>101</v>
      </c>
      <c r="L11" s="159" t="s">
        <v>100</v>
      </c>
      <c r="M11" s="159" t="s">
        <v>101</v>
      </c>
      <c r="N11" s="260"/>
      <c r="O11" s="184"/>
      <c r="P11" s="159" t="str">
        <f t="shared" si="1"/>
        <v>AD</v>
      </c>
      <c r="Q11" s="158" t="s">
        <v>101</v>
      </c>
      <c r="R11" s="170"/>
      <c r="S11" s="171" t="s">
        <v>100</v>
      </c>
      <c r="T11" s="171" t="s">
        <v>100</v>
      </c>
      <c r="U11" s="171" t="s">
        <v>101</v>
      </c>
      <c r="V11" s="172"/>
      <c r="W11" s="172"/>
      <c r="X11" s="173"/>
      <c r="Y11" s="264"/>
      <c r="Z11" s="184"/>
      <c r="AA11" s="170" t="str">
        <f t="shared" si="2"/>
        <v>AD</v>
      </c>
      <c r="AB11" s="158" t="s">
        <v>100</v>
      </c>
      <c r="AC11" s="189"/>
      <c r="AD11" s="190"/>
      <c r="AE11" s="190"/>
      <c r="AF11" s="190"/>
      <c r="AG11" s="189"/>
      <c r="AH11" s="139"/>
      <c r="AI11" s="266" t="s">
        <v>105</v>
      </c>
      <c r="AJ11" s="148" t="s">
        <v>101</v>
      </c>
      <c r="AK11" s="148" t="s">
        <v>100</v>
      </c>
      <c r="AL11" s="173"/>
      <c r="AM11" s="184"/>
      <c r="AN11" s="172"/>
      <c r="AO11" s="148" t="str">
        <f t="shared" si="3"/>
        <v>AD</v>
      </c>
      <c r="AP11" s="158" t="s">
        <v>102</v>
      </c>
      <c r="AQ11" s="159"/>
      <c r="AR11" s="159" t="s">
        <v>101</v>
      </c>
      <c r="AS11" s="159" t="s">
        <v>101</v>
      </c>
      <c r="AT11" s="159" t="s">
        <v>101</v>
      </c>
      <c r="AU11" s="172" t="s">
        <v>100</v>
      </c>
      <c r="AV11" s="267"/>
      <c r="AW11" s="173"/>
      <c r="AX11" s="159" t="str">
        <f t="shared" si="4"/>
        <v>AD</v>
      </c>
      <c r="AY11" s="158" t="s">
        <v>101</v>
      </c>
      <c r="AZ11" s="171"/>
      <c r="BA11" s="171" t="s">
        <v>100</v>
      </c>
      <c r="BB11" s="171" t="s">
        <v>100</v>
      </c>
      <c r="BC11" s="171" t="s">
        <v>101</v>
      </c>
      <c r="BD11" s="171"/>
      <c r="BE11" s="172" t="s">
        <v>100</v>
      </c>
      <c r="BF11" s="267"/>
      <c r="BG11" s="267"/>
      <c r="BH11" s="171" t="str">
        <f t="shared" si="5"/>
        <v>AD</v>
      </c>
      <c r="BI11" s="158" t="s">
        <v>100</v>
      </c>
      <c r="BJ11" s="190"/>
      <c r="BK11" s="190" t="s">
        <v>100</v>
      </c>
      <c r="BL11" s="189" t="s">
        <v>100</v>
      </c>
      <c r="BM11" s="189" t="s">
        <v>101</v>
      </c>
      <c r="BN11" s="184"/>
      <c r="BO11" s="173"/>
      <c r="BP11" s="172" t="s">
        <v>100</v>
      </c>
      <c r="BQ11" s="189" t="str">
        <f t="shared" si="6"/>
        <v>AD</v>
      </c>
      <c r="BR11" s="158" t="s">
        <v>100</v>
      </c>
      <c r="BS11" s="148"/>
      <c r="BT11" s="148"/>
      <c r="BU11" s="148"/>
      <c r="BV11" s="148"/>
      <c r="BW11" s="148"/>
      <c r="BX11" s="159"/>
      <c r="BY11" s="225" t="s">
        <v>100</v>
      </c>
      <c r="BZ11" s="225" t="s">
        <v>101</v>
      </c>
      <c r="CA11" s="225"/>
      <c r="CB11" s="257"/>
      <c r="CC11" s="257"/>
      <c r="CD11" s="257"/>
      <c r="CE11" s="173"/>
      <c r="CF11" s="172" t="s">
        <v>100</v>
      </c>
      <c r="CG11" s="271"/>
      <c r="CH11" s="225" t="str">
        <f t="shared" si="7"/>
        <v>AD</v>
      </c>
      <c r="CI11" s="158" t="s">
        <v>101</v>
      </c>
      <c r="CJ11" s="171"/>
      <c r="CK11" s="230" t="s">
        <v>102</v>
      </c>
      <c r="CL11" s="230"/>
      <c r="CM11" s="230"/>
      <c r="CN11" s="274"/>
      <c r="CO11" s="274"/>
      <c r="CP11" s="172" t="s">
        <v>100</v>
      </c>
      <c r="CQ11" s="184"/>
      <c r="CR11" s="232" t="str">
        <f t="shared" si="8"/>
        <v>AD</v>
      </c>
      <c r="CS11" s="158" t="s">
        <v>101</v>
      </c>
      <c r="CT11" s="189"/>
      <c r="CU11" s="189"/>
      <c r="CV11" s="189"/>
      <c r="CW11" s="189"/>
      <c r="CX11" s="139"/>
      <c r="CY11" s="139"/>
      <c r="CZ11" s="139"/>
      <c r="DA11" s="139"/>
      <c r="DB11" s="139"/>
      <c r="DC11" s="139"/>
      <c r="DD11" s="139"/>
      <c r="DE11" s="237" t="s">
        <v>100</v>
      </c>
      <c r="DF11" s="172" t="s">
        <v>100</v>
      </c>
      <c r="DG11" s="172" t="s">
        <v>100</v>
      </c>
      <c r="DH11" t="s">
        <v>100</v>
      </c>
    </row>
    <row r="12" s="121" customFormat="1" ht="15" spans="1:112">
      <c r="A12" s="141">
        <v>6</v>
      </c>
      <c r="B12" s="142" t="str">
        <f>'RELACION ESTUDIANTES - 2022'!C11</f>
        <v>HUARCAYA BACAS HENRY VICENTE</v>
      </c>
      <c r="C12" s="259"/>
      <c r="D12" s="139" t="s">
        <v>101</v>
      </c>
      <c r="E12" s="139" t="s">
        <v>101</v>
      </c>
      <c r="F12" s="139" t="s">
        <v>100</v>
      </c>
      <c r="G12" s="259"/>
      <c r="H12" s="259" t="str">
        <f t="shared" si="0"/>
        <v>AD</v>
      </c>
      <c r="I12" s="158" t="s">
        <v>101</v>
      </c>
      <c r="J12" s="261"/>
      <c r="K12" s="159" t="s">
        <v>100</v>
      </c>
      <c r="L12" s="159" t="s">
        <v>102</v>
      </c>
      <c r="M12" s="159" t="s">
        <v>101</v>
      </c>
      <c r="N12" s="261"/>
      <c r="O12" s="262"/>
      <c r="P12" s="261" t="str">
        <f t="shared" si="1"/>
        <v>AD</v>
      </c>
      <c r="Q12" s="158" t="s">
        <v>101</v>
      </c>
      <c r="R12" s="174"/>
      <c r="S12" s="171" t="s">
        <v>100</v>
      </c>
      <c r="T12" s="171" t="s">
        <v>100</v>
      </c>
      <c r="U12" s="171" t="s">
        <v>102</v>
      </c>
      <c r="V12" s="172"/>
      <c r="W12" s="172"/>
      <c r="X12" s="173"/>
      <c r="Y12" s="264"/>
      <c r="Z12" s="143"/>
      <c r="AA12" s="174" t="str">
        <f t="shared" si="2"/>
        <v>AD</v>
      </c>
      <c r="AB12" s="158" t="s">
        <v>101</v>
      </c>
      <c r="AC12" s="191"/>
      <c r="AD12" s="192"/>
      <c r="AE12" s="192"/>
      <c r="AF12" s="192"/>
      <c r="AG12" s="191"/>
      <c r="AH12" s="143"/>
      <c r="AI12" s="266" t="s">
        <v>100</v>
      </c>
      <c r="AJ12" s="148" t="s">
        <v>100</v>
      </c>
      <c r="AK12" s="148" t="s">
        <v>100</v>
      </c>
      <c r="AL12" s="173"/>
      <c r="AM12" s="184"/>
      <c r="AN12" s="175"/>
      <c r="AO12" s="204" t="str">
        <f t="shared" si="3"/>
        <v>AD</v>
      </c>
      <c r="AP12" s="158" t="s">
        <v>100</v>
      </c>
      <c r="AQ12" s="161"/>
      <c r="AR12" s="159" t="s">
        <v>101</v>
      </c>
      <c r="AS12" s="159" t="s">
        <v>101</v>
      </c>
      <c r="AT12" s="161" t="s">
        <v>101</v>
      </c>
      <c r="AU12" s="172" t="s">
        <v>101</v>
      </c>
      <c r="AV12" s="267"/>
      <c r="AW12" s="173"/>
      <c r="AX12" s="161" t="str">
        <f t="shared" si="4"/>
        <v>AD</v>
      </c>
      <c r="AY12" s="143" t="s">
        <v>101</v>
      </c>
      <c r="AZ12" s="175"/>
      <c r="BA12" s="171" t="s">
        <v>100</v>
      </c>
      <c r="BB12" s="171" t="s">
        <v>100</v>
      </c>
      <c r="BC12" s="171" t="s">
        <v>101</v>
      </c>
      <c r="BD12" s="175"/>
      <c r="BE12" s="172" t="s">
        <v>101</v>
      </c>
      <c r="BF12" s="175"/>
      <c r="BG12" s="175"/>
      <c r="BH12" s="175" t="str">
        <f t="shared" si="5"/>
        <v>AD</v>
      </c>
      <c r="BI12" s="143" t="s">
        <v>100</v>
      </c>
      <c r="BJ12" s="190"/>
      <c r="BK12" s="190" t="s">
        <v>100</v>
      </c>
      <c r="BL12" s="189" t="s">
        <v>101</v>
      </c>
      <c r="BM12" s="189" t="s">
        <v>100</v>
      </c>
      <c r="BN12" s="143"/>
      <c r="BO12" s="192"/>
      <c r="BP12" s="172" t="s">
        <v>101</v>
      </c>
      <c r="BQ12" s="191" t="str">
        <f t="shared" si="6"/>
        <v>AD</v>
      </c>
      <c r="BR12" s="143" t="s">
        <v>100</v>
      </c>
      <c r="BS12" s="204"/>
      <c r="BT12" s="204"/>
      <c r="BU12" s="204"/>
      <c r="BV12" s="204"/>
      <c r="BW12" s="204"/>
      <c r="BX12" s="161"/>
      <c r="BY12" s="225" t="s">
        <v>100</v>
      </c>
      <c r="BZ12" s="225" t="s">
        <v>101</v>
      </c>
      <c r="CA12" s="143"/>
      <c r="CB12" s="143"/>
      <c r="CC12" s="143"/>
      <c r="CD12" s="143"/>
      <c r="CE12" s="192"/>
      <c r="CF12" s="172" t="s">
        <v>101</v>
      </c>
      <c r="CG12" s="272"/>
      <c r="CH12" s="143" t="str">
        <f t="shared" si="7"/>
        <v>AD</v>
      </c>
      <c r="CI12" s="143" t="s">
        <v>101</v>
      </c>
      <c r="CJ12" s="175"/>
      <c r="CK12" s="216" t="s">
        <v>100</v>
      </c>
      <c r="CL12" s="230"/>
      <c r="CM12" s="216"/>
      <c r="CN12" s="216"/>
      <c r="CO12" s="216"/>
      <c r="CP12" s="172" t="s">
        <v>101</v>
      </c>
      <c r="CQ12" s="143"/>
      <c r="CR12" s="233" t="str">
        <f t="shared" si="8"/>
        <v>AD</v>
      </c>
      <c r="CS12" s="143" t="s">
        <v>100</v>
      </c>
      <c r="CT12" s="191"/>
      <c r="CU12" s="191"/>
      <c r="CV12" s="191"/>
      <c r="CW12" s="191"/>
      <c r="CX12" s="204"/>
      <c r="CY12" s="204"/>
      <c r="CZ12" s="204"/>
      <c r="DA12" s="204"/>
      <c r="DB12" s="161"/>
      <c r="DC12" s="161"/>
      <c r="DD12" s="161"/>
      <c r="DE12" s="238" t="s">
        <v>100</v>
      </c>
      <c r="DF12" s="172" t="s">
        <v>102</v>
      </c>
      <c r="DG12" s="172" t="s">
        <v>100</v>
      </c>
      <c r="DH12" s="121" t="s">
        <v>101</v>
      </c>
    </row>
    <row r="13" ht="15" spans="1:112">
      <c r="A13" s="137">
        <v>7</v>
      </c>
      <c r="B13" s="138" t="str">
        <f>'RELACION ESTUDIANTES - 2022'!C12</f>
        <v>HUAYHUAMEZA LEÑAN DEYVIS</v>
      </c>
      <c r="C13" s="139"/>
      <c r="D13" s="139" t="s">
        <v>102</v>
      </c>
      <c r="E13" s="139" t="s">
        <v>101</v>
      </c>
      <c r="F13" s="139" t="s">
        <v>100</v>
      </c>
      <c r="G13" s="257"/>
      <c r="H13" s="139" t="str">
        <f t="shared" si="0"/>
        <v>AD</v>
      </c>
      <c r="I13" s="158" t="s">
        <v>101</v>
      </c>
      <c r="J13" s="159"/>
      <c r="K13" s="159" t="s">
        <v>102</v>
      </c>
      <c r="L13" s="159" t="s">
        <v>102</v>
      </c>
      <c r="M13" s="159" t="s">
        <v>102</v>
      </c>
      <c r="N13" s="260"/>
      <c r="O13" s="184"/>
      <c r="P13" s="159" t="str">
        <f t="shared" si="1"/>
        <v>AD</v>
      </c>
      <c r="Q13" s="158" t="s">
        <v>102</v>
      </c>
      <c r="R13" s="170"/>
      <c r="S13" s="171" t="s">
        <v>101</v>
      </c>
      <c r="T13" s="171" t="s">
        <v>101</v>
      </c>
      <c r="U13" s="171" t="s">
        <v>102</v>
      </c>
      <c r="V13" s="172"/>
      <c r="W13" s="172"/>
      <c r="X13" s="173"/>
      <c r="Y13" s="264"/>
      <c r="Z13" s="184"/>
      <c r="AA13" s="170" t="str">
        <f t="shared" si="2"/>
        <v>AD</v>
      </c>
      <c r="AB13" s="158" t="s">
        <v>101</v>
      </c>
      <c r="AC13" s="189"/>
      <c r="AD13" s="190"/>
      <c r="AE13" s="190"/>
      <c r="AF13" s="190"/>
      <c r="AG13" s="195"/>
      <c r="AH13" s="139"/>
      <c r="AI13" s="266" t="s">
        <v>101</v>
      </c>
      <c r="AJ13" s="148" t="s">
        <v>101</v>
      </c>
      <c r="AK13" s="148" t="s">
        <v>105</v>
      </c>
      <c r="AL13" s="173"/>
      <c r="AM13" s="184"/>
      <c r="AN13" s="172"/>
      <c r="AO13" s="148" t="str">
        <f t="shared" si="3"/>
        <v>AD</v>
      </c>
      <c r="AP13" s="158" t="s">
        <v>102</v>
      </c>
      <c r="AQ13" s="159"/>
      <c r="AR13" s="159" t="s">
        <v>101</v>
      </c>
      <c r="AS13" s="159" t="s">
        <v>101</v>
      </c>
      <c r="AT13" s="159" t="s">
        <v>101</v>
      </c>
      <c r="AU13" s="172" t="s">
        <v>102</v>
      </c>
      <c r="AV13" s="267"/>
      <c r="AW13" s="173"/>
      <c r="AX13" s="159" t="str">
        <f t="shared" si="4"/>
        <v>AD</v>
      </c>
      <c r="AY13" s="158" t="s">
        <v>101</v>
      </c>
      <c r="AZ13" s="171"/>
      <c r="BA13" s="171" t="s">
        <v>102</v>
      </c>
      <c r="BB13" s="171" t="s">
        <v>101</v>
      </c>
      <c r="BC13" s="171" t="s">
        <v>101</v>
      </c>
      <c r="BD13" s="171"/>
      <c r="BE13" s="172" t="s">
        <v>102</v>
      </c>
      <c r="BF13" s="267"/>
      <c r="BG13" s="267"/>
      <c r="BH13" s="171" t="str">
        <f t="shared" si="5"/>
        <v>AD</v>
      </c>
      <c r="BI13" s="158" t="s">
        <v>101</v>
      </c>
      <c r="BJ13" s="190"/>
      <c r="BK13" s="190" t="s">
        <v>101</v>
      </c>
      <c r="BL13" s="189" t="s">
        <v>101</v>
      </c>
      <c r="BM13" s="189" t="s">
        <v>101</v>
      </c>
      <c r="BN13" s="184"/>
      <c r="BO13" s="173"/>
      <c r="BP13" s="172" t="s">
        <v>102</v>
      </c>
      <c r="BQ13" s="189" t="str">
        <f t="shared" si="6"/>
        <v>AD</v>
      </c>
      <c r="BR13" s="158" t="s">
        <v>101</v>
      </c>
      <c r="BS13" s="148"/>
      <c r="BT13" s="148"/>
      <c r="BU13" s="148"/>
      <c r="BV13" s="148"/>
      <c r="BW13" s="211"/>
      <c r="BX13" s="159"/>
      <c r="BY13" s="225" t="s">
        <v>101</v>
      </c>
      <c r="BZ13" s="225" t="s">
        <v>101</v>
      </c>
      <c r="CA13" s="225"/>
      <c r="CB13" s="257"/>
      <c r="CC13" s="257"/>
      <c r="CD13" s="257"/>
      <c r="CE13" s="173"/>
      <c r="CF13" s="172" t="s">
        <v>102</v>
      </c>
      <c r="CG13" s="271"/>
      <c r="CH13" s="225" t="str">
        <f t="shared" si="7"/>
        <v>AD</v>
      </c>
      <c r="CI13" s="158" t="s">
        <v>101</v>
      </c>
      <c r="CJ13" s="171"/>
      <c r="CK13" s="230" t="s">
        <v>102</v>
      </c>
      <c r="CL13" s="230"/>
      <c r="CM13" s="230"/>
      <c r="CN13" s="274"/>
      <c r="CO13" s="274"/>
      <c r="CP13" s="172" t="s">
        <v>102</v>
      </c>
      <c r="CQ13" s="184"/>
      <c r="CR13" s="232" t="str">
        <f t="shared" si="8"/>
        <v>AD</v>
      </c>
      <c r="CS13" s="158" t="s">
        <v>102</v>
      </c>
      <c r="CT13" s="189"/>
      <c r="CU13" s="189"/>
      <c r="CV13" s="189"/>
      <c r="CW13" s="195"/>
      <c r="CX13" s="148"/>
      <c r="CY13" s="148"/>
      <c r="CZ13" s="148"/>
      <c r="DA13" s="148"/>
      <c r="DB13" s="148"/>
      <c r="DC13" s="148"/>
      <c r="DD13" s="148"/>
      <c r="DE13" s="237" t="s">
        <v>100</v>
      </c>
      <c r="DF13" s="172" t="s">
        <v>105</v>
      </c>
      <c r="DG13" s="279" t="s">
        <v>102</v>
      </c>
      <c r="DH13" t="s">
        <v>102</v>
      </c>
    </row>
    <row r="14" s="121" customFormat="1" ht="15" spans="1:112">
      <c r="A14" s="141">
        <v>9</v>
      </c>
      <c r="B14" s="142" t="str">
        <f>'RELACION ESTUDIANTES - 2022'!C13</f>
        <v>JUSCAMAYTA HUARACC YOSSIMAR BAYRON</v>
      </c>
      <c r="C14" s="143"/>
      <c r="D14" s="139" t="s">
        <v>101</v>
      </c>
      <c r="E14" s="139" t="s">
        <v>101</v>
      </c>
      <c r="F14" s="139" t="s">
        <v>100</v>
      </c>
      <c r="G14" s="143"/>
      <c r="H14" s="143" t="str">
        <f t="shared" si="0"/>
        <v>AD</v>
      </c>
      <c r="I14" s="158" t="s">
        <v>101</v>
      </c>
      <c r="J14" s="161"/>
      <c r="K14" s="159" t="s">
        <v>100</v>
      </c>
      <c r="L14" s="159" t="s">
        <v>100</v>
      </c>
      <c r="M14" s="159" t="s">
        <v>102</v>
      </c>
      <c r="N14" s="161"/>
      <c r="O14" s="143"/>
      <c r="P14" s="161" t="str">
        <f t="shared" si="1"/>
        <v>AD</v>
      </c>
      <c r="Q14" s="158" t="s">
        <v>101</v>
      </c>
      <c r="R14" s="174"/>
      <c r="S14" s="171" t="s">
        <v>100</v>
      </c>
      <c r="T14" s="171" t="s">
        <v>100</v>
      </c>
      <c r="U14" s="171" t="s">
        <v>102</v>
      </c>
      <c r="V14" s="172"/>
      <c r="W14" s="172"/>
      <c r="X14" s="173"/>
      <c r="Y14" s="264"/>
      <c r="Z14" s="143"/>
      <c r="AA14" s="174" t="str">
        <f t="shared" si="2"/>
        <v>AD</v>
      </c>
      <c r="AB14" s="158" t="s">
        <v>101</v>
      </c>
      <c r="AC14" s="191"/>
      <c r="AD14" s="192"/>
      <c r="AE14" s="192"/>
      <c r="AF14" s="192"/>
      <c r="AG14" s="191"/>
      <c r="AH14" s="143"/>
      <c r="AI14" s="266" t="s">
        <v>101</v>
      </c>
      <c r="AJ14" s="148" t="s">
        <v>101</v>
      </c>
      <c r="AK14" s="148" t="s">
        <v>100</v>
      </c>
      <c r="AL14" s="173"/>
      <c r="AM14" s="184"/>
      <c r="AN14" s="172"/>
      <c r="AO14" s="204" t="str">
        <f t="shared" si="3"/>
        <v>AD</v>
      </c>
      <c r="AP14" s="158" t="s">
        <v>100</v>
      </c>
      <c r="AQ14" s="161"/>
      <c r="AR14" s="159" t="s">
        <v>101</v>
      </c>
      <c r="AS14" s="159" t="s">
        <v>101</v>
      </c>
      <c r="AT14" s="161" t="s">
        <v>101</v>
      </c>
      <c r="AU14" s="172" t="s">
        <v>102</v>
      </c>
      <c r="AV14" s="267"/>
      <c r="AW14" s="173"/>
      <c r="AX14" s="161" t="str">
        <f t="shared" si="4"/>
        <v>AD</v>
      </c>
      <c r="AY14" s="143" t="s">
        <v>101</v>
      </c>
      <c r="AZ14" s="175"/>
      <c r="BA14" s="171" t="s">
        <v>100</v>
      </c>
      <c r="BB14" s="171" t="s">
        <v>101</v>
      </c>
      <c r="BC14" s="171" t="s">
        <v>105</v>
      </c>
      <c r="BD14" s="175"/>
      <c r="BE14" s="172" t="s">
        <v>102</v>
      </c>
      <c r="BF14" s="175"/>
      <c r="BG14" s="175"/>
      <c r="BH14" s="175" t="str">
        <f t="shared" si="5"/>
        <v>AD</v>
      </c>
      <c r="BI14" s="143" t="s">
        <v>102</v>
      </c>
      <c r="BJ14" s="190"/>
      <c r="BK14" s="190" t="s">
        <v>101</v>
      </c>
      <c r="BL14" s="189" t="s">
        <v>101</v>
      </c>
      <c r="BM14" s="189" t="s">
        <v>100</v>
      </c>
      <c r="BN14" s="143"/>
      <c r="BO14" s="192"/>
      <c r="BP14" s="172" t="s">
        <v>102</v>
      </c>
      <c r="BQ14" s="191" t="str">
        <f t="shared" si="6"/>
        <v>AD</v>
      </c>
      <c r="BR14" s="143" t="s">
        <v>101</v>
      </c>
      <c r="BS14" s="204"/>
      <c r="BT14" s="204"/>
      <c r="BU14" s="204"/>
      <c r="BV14" s="204"/>
      <c r="BW14" s="204"/>
      <c r="BX14" s="161"/>
      <c r="BY14" s="225" t="s">
        <v>100</v>
      </c>
      <c r="BZ14" s="225" t="s">
        <v>101</v>
      </c>
      <c r="CA14" s="143"/>
      <c r="CB14" s="143"/>
      <c r="CC14" s="143"/>
      <c r="CD14" s="143"/>
      <c r="CE14" s="192"/>
      <c r="CF14" s="172" t="s">
        <v>102</v>
      </c>
      <c r="CG14" s="272"/>
      <c r="CH14" s="143" t="str">
        <f t="shared" si="7"/>
        <v>AD</v>
      </c>
      <c r="CI14" s="143" t="s">
        <v>101</v>
      </c>
      <c r="CJ14" s="175"/>
      <c r="CK14" s="216" t="s">
        <v>100</v>
      </c>
      <c r="CL14" s="230"/>
      <c r="CM14" s="216"/>
      <c r="CN14" s="216"/>
      <c r="CO14" s="216"/>
      <c r="CP14" s="172" t="s">
        <v>102</v>
      </c>
      <c r="CQ14" s="143"/>
      <c r="CR14" s="233" t="str">
        <f t="shared" si="8"/>
        <v>AD</v>
      </c>
      <c r="CS14" s="143" t="s">
        <v>101</v>
      </c>
      <c r="CT14" s="191"/>
      <c r="CU14" s="191"/>
      <c r="CV14" s="191"/>
      <c r="CW14" s="191"/>
      <c r="CX14" s="204"/>
      <c r="CY14" s="204"/>
      <c r="CZ14" s="204"/>
      <c r="DA14" s="204"/>
      <c r="DB14" s="204"/>
      <c r="DC14" s="204"/>
      <c r="DD14" s="204"/>
      <c r="DE14" s="238" t="s">
        <v>100</v>
      </c>
      <c r="DF14" s="172" t="s">
        <v>105</v>
      </c>
      <c r="DG14" s="172" t="s">
        <v>100</v>
      </c>
      <c r="DH14" s="121" t="s">
        <v>102</v>
      </c>
    </row>
    <row r="15" ht="15" spans="1:112">
      <c r="A15" s="137">
        <v>10</v>
      </c>
      <c r="B15" s="138" t="str">
        <f>'RELACION ESTUDIANTES - 2022'!C14</f>
        <v>LEVANO GALINDO CRISTOPHER ANDRES</v>
      </c>
      <c r="C15" s="139"/>
      <c r="D15" s="139" t="s">
        <v>101</v>
      </c>
      <c r="E15" s="139" t="s">
        <v>101</v>
      </c>
      <c r="F15" s="139" t="s">
        <v>102</v>
      </c>
      <c r="G15" s="257"/>
      <c r="H15" s="139" t="str">
        <f t="shared" si="0"/>
        <v>AD</v>
      </c>
      <c r="I15" s="158" t="s">
        <v>101</v>
      </c>
      <c r="J15" s="159"/>
      <c r="K15" s="159" t="s">
        <v>100</v>
      </c>
      <c r="L15" s="159" t="s">
        <v>102</v>
      </c>
      <c r="M15" s="159" t="s">
        <v>101</v>
      </c>
      <c r="N15" s="260"/>
      <c r="O15" s="184"/>
      <c r="P15" s="159" t="str">
        <f t="shared" si="1"/>
        <v>AD</v>
      </c>
      <c r="Q15" s="158" t="s">
        <v>101</v>
      </c>
      <c r="R15" s="170"/>
      <c r="S15" s="171" t="s">
        <v>100</v>
      </c>
      <c r="T15" s="171" t="s">
        <v>100</v>
      </c>
      <c r="U15" s="171" t="s">
        <v>102</v>
      </c>
      <c r="V15" s="172"/>
      <c r="W15" s="172"/>
      <c r="X15" s="173"/>
      <c r="Y15" s="264"/>
      <c r="Z15" s="184"/>
      <c r="AA15" s="170" t="str">
        <f t="shared" si="2"/>
        <v>AD</v>
      </c>
      <c r="AB15" s="158" t="s">
        <v>101</v>
      </c>
      <c r="AC15" s="189"/>
      <c r="AD15" s="190"/>
      <c r="AE15" s="190"/>
      <c r="AF15" s="190"/>
      <c r="AG15" s="189"/>
      <c r="AH15" s="139"/>
      <c r="AI15" s="266" t="s">
        <v>101</v>
      </c>
      <c r="AJ15" s="148" t="s">
        <v>101</v>
      </c>
      <c r="AK15" s="148" t="s">
        <v>102</v>
      </c>
      <c r="AL15" s="173"/>
      <c r="AM15" s="184"/>
      <c r="AN15" s="172"/>
      <c r="AO15" s="148" t="str">
        <f t="shared" si="3"/>
        <v>AD</v>
      </c>
      <c r="AP15" s="158" t="s">
        <v>101</v>
      </c>
      <c r="AQ15" s="159"/>
      <c r="AR15" s="159" t="s">
        <v>100</v>
      </c>
      <c r="AS15" s="159" t="s">
        <v>101</v>
      </c>
      <c r="AT15" s="159" t="s">
        <v>101</v>
      </c>
      <c r="AU15" s="172" t="s">
        <v>102</v>
      </c>
      <c r="AV15" s="267"/>
      <c r="AW15" s="173"/>
      <c r="AX15" s="159" t="str">
        <f t="shared" si="4"/>
        <v>AD</v>
      </c>
      <c r="AY15" s="158" t="s">
        <v>101</v>
      </c>
      <c r="AZ15" s="171"/>
      <c r="BA15" s="171" t="s">
        <v>101</v>
      </c>
      <c r="BB15" s="171" t="s">
        <v>100</v>
      </c>
      <c r="BC15" s="171" t="s">
        <v>101</v>
      </c>
      <c r="BD15" s="171"/>
      <c r="BE15" s="172" t="s">
        <v>102</v>
      </c>
      <c r="BF15" s="267"/>
      <c r="BG15" s="267"/>
      <c r="BH15" s="171" t="str">
        <f t="shared" si="5"/>
        <v>AD</v>
      </c>
      <c r="BI15" s="158" t="s">
        <v>101</v>
      </c>
      <c r="BJ15" s="190"/>
      <c r="BK15" s="190" t="s">
        <v>100</v>
      </c>
      <c r="BL15" s="189" t="s">
        <v>101</v>
      </c>
      <c r="BM15" s="189" t="s">
        <v>101</v>
      </c>
      <c r="BN15" s="184"/>
      <c r="BO15" s="173"/>
      <c r="BP15" s="172" t="s">
        <v>102</v>
      </c>
      <c r="BQ15" s="189" t="str">
        <f t="shared" si="6"/>
        <v>AD</v>
      </c>
      <c r="BR15" s="158" t="s">
        <v>101</v>
      </c>
      <c r="BS15" s="148"/>
      <c r="BT15" s="148"/>
      <c r="BU15" s="148"/>
      <c r="BV15" s="148"/>
      <c r="BW15" s="148"/>
      <c r="BX15" s="159"/>
      <c r="BY15" s="225" t="s">
        <v>100</v>
      </c>
      <c r="BZ15" s="225" t="s">
        <v>101</v>
      </c>
      <c r="CA15" s="225" t="s">
        <v>100</v>
      </c>
      <c r="CB15" s="257"/>
      <c r="CC15" s="257"/>
      <c r="CD15" s="257"/>
      <c r="CE15" s="173"/>
      <c r="CF15" s="172" t="s">
        <v>102</v>
      </c>
      <c r="CG15" s="271"/>
      <c r="CH15" s="225" t="str">
        <f t="shared" si="7"/>
        <v>AD</v>
      </c>
      <c r="CI15" s="158" t="s">
        <v>101</v>
      </c>
      <c r="CJ15" s="171"/>
      <c r="CK15" s="230" t="s">
        <v>100</v>
      </c>
      <c r="CL15" s="230"/>
      <c r="CM15" s="230"/>
      <c r="CN15" s="274"/>
      <c r="CO15" s="274"/>
      <c r="CP15" s="172" t="s">
        <v>102</v>
      </c>
      <c r="CQ15" s="184"/>
      <c r="CR15" s="232" t="str">
        <f t="shared" si="8"/>
        <v>AD</v>
      </c>
      <c r="CS15" s="158" t="s">
        <v>101</v>
      </c>
      <c r="CT15" s="189"/>
      <c r="CU15" s="189"/>
      <c r="CV15" s="189"/>
      <c r="CW15" s="189"/>
      <c r="CX15" s="148"/>
      <c r="CY15" s="148"/>
      <c r="CZ15" s="148"/>
      <c r="DA15" s="148"/>
      <c r="DB15" s="148"/>
      <c r="DC15" s="148"/>
      <c r="DD15" s="148"/>
      <c r="DE15" s="237" t="s">
        <v>100</v>
      </c>
      <c r="DF15" s="172" t="s">
        <v>105</v>
      </c>
      <c r="DG15" s="172" t="s">
        <v>100</v>
      </c>
      <c r="DH15" t="s">
        <v>102</v>
      </c>
    </row>
    <row r="16" ht="15" spans="1:112">
      <c r="A16" s="137">
        <v>11</v>
      </c>
      <c r="B16" s="138" t="str">
        <f>'RELACION ESTUDIANTES - 2022'!C15</f>
        <v>LINARES ZAPATA CARLOS ALBERTO</v>
      </c>
      <c r="C16" s="139"/>
      <c r="D16" s="139" t="s">
        <v>102</v>
      </c>
      <c r="E16" s="139" t="s">
        <v>105</v>
      </c>
      <c r="F16" s="139" t="s">
        <v>102</v>
      </c>
      <c r="G16" s="257"/>
      <c r="H16" s="139" t="str">
        <f t="shared" si="0"/>
        <v>B</v>
      </c>
      <c r="I16" s="158" t="s">
        <v>102</v>
      </c>
      <c r="J16" s="159"/>
      <c r="K16" s="263" t="s">
        <v>105</v>
      </c>
      <c r="L16" s="263" t="s">
        <v>105</v>
      </c>
      <c r="M16" s="159" t="s">
        <v>105</v>
      </c>
      <c r="N16" s="260"/>
      <c r="O16" s="184"/>
      <c r="P16" s="159" t="str">
        <f t="shared" si="1"/>
        <v>B</v>
      </c>
      <c r="Q16" s="158" t="s">
        <v>105</v>
      </c>
      <c r="R16" s="170"/>
      <c r="S16" s="171" t="s">
        <v>101</v>
      </c>
      <c r="T16" s="171" t="s">
        <v>101</v>
      </c>
      <c r="U16" s="171" t="s">
        <v>102</v>
      </c>
      <c r="V16" s="172"/>
      <c r="W16" s="172"/>
      <c r="X16" s="173"/>
      <c r="Y16" s="264"/>
      <c r="Z16" s="184"/>
      <c r="AA16" s="170" t="str">
        <f t="shared" si="2"/>
        <v>B</v>
      </c>
      <c r="AB16" s="158" t="s">
        <v>101</v>
      </c>
      <c r="AC16" s="189"/>
      <c r="AD16" s="190"/>
      <c r="AE16" s="190"/>
      <c r="AF16" s="190"/>
      <c r="AG16" s="189"/>
      <c r="AH16" s="139"/>
      <c r="AI16" s="266" t="s">
        <v>101</v>
      </c>
      <c r="AJ16" s="148" t="s">
        <v>105</v>
      </c>
      <c r="AK16" s="148" t="s">
        <v>105</v>
      </c>
      <c r="AL16" s="173"/>
      <c r="AM16" s="184"/>
      <c r="AN16" s="172"/>
      <c r="AO16" s="148" t="str">
        <f t="shared" si="3"/>
        <v>B</v>
      </c>
      <c r="AP16" s="158" t="s">
        <v>102</v>
      </c>
      <c r="AQ16" s="159"/>
      <c r="AR16" s="159" t="s">
        <v>100</v>
      </c>
      <c r="AS16" s="159" t="s">
        <v>101</v>
      </c>
      <c r="AT16" s="159" t="s">
        <v>101</v>
      </c>
      <c r="AU16" s="172" t="s">
        <v>102</v>
      </c>
      <c r="AV16" s="267"/>
      <c r="AW16" s="173"/>
      <c r="AX16" s="159" t="str">
        <f t="shared" si="4"/>
        <v>B</v>
      </c>
      <c r="AY16" s="158" t="s">
        <v>101</v>
      </c>
      <c r="AZ16" s="171"/>
      <c r="BA16" s="171" t="s">
        <v>102</v>
      </c>
      <c r="BB16" s="171" t="s">
        <v>100</v>
      </c>
      <c r="BC16" s="171" t="s">
        <v>105</v>
      </c>
      <c r="BD16" s="171"/>
      <c r="BE16" s="172" t="s">
        <v>102</v>
      </c>
      <c r="BF16" s="267"/>
      <c r="BG16" s="267"/>
      <c r="BH16" s="171" t="str">
        <f t="shared" si="5"/>
        <v>B</v>
      </c>
      <c r="BI16" s="158" t="s">
        <v>102</v>
      </c>
      <c r="BJ16" s="190"/>
      <c r="BK16" s="190" t="s">
        <v>100</v>
      </c>
      <c r="BL16" s="189" t="s">
        <v>101</v>
      </c>
      <c r="BM16" s="189" t="s">
        <v>101</v>
      </c>
      <c r="BN16" s="184"/>
      <c r="BO16" s="173"/>
      <c r="BP16" s="172" t="s">
        <v>102</v>
      </c>
      <c r="BQ16" s="189" t="str">
        <f t="shared" si="6"/>
        <v>B</v>
      </c>
      <c r="BR16" s="158" t="s">
        <v>101</v>
      </c>
      <c r="BS16" s="148"/>
      <c r="BT16" s="148"/>
      <c r="BU16" s="148"/>
      <c r="BV16" s="148"/>
      <c r="BW16" s="148"/>
      <c r="BX16" s="159"/>
      <c r="BY16" s="225" t="s">
        <v>100</v>
      </c>
      <c r="BZ16" s="225" t="s">
        <v>101</v>
      </c>
      <c r="CA16" s="225" t="s">
        <v>100</v>
      </c>
      <c r="CB16" s="257"/>
      <c r="CC16" s="257"/>
      <c r="CD16" s="257"/>
      <c r="CE16" s="173"/>
      <c r="CF16" s="172" t="s">
        <v>102</v>
      </c>
      <c r="CG16" s="271"/>
      <c r="CH16" s="225" t="str">
        <f t="shared" si="7"/>
        <v>B</v>
      </c>
      <c r="CI16" s="158" t="s">
        <v>101</v>
      </c>
      <c r="CJ16" s="171"/>
      <c r="CK16" s="230" t="s">
        <v>102</v>
      </c>
      <c r="CL16" s="230"/>
      <c r="CM16" s="230"/>
      <c r="CN16" s="274"/>
      <c r="CO16" s="274"/>
      <c r="CP16" s="172" t="s">
        <v>102</v>
      </c>
      <c r="CQ16" s="184"/>
      <c r="CR16" s="232" t="str">
        <f t="shared" si="8"/>
        <v>B</v>
      </c>
      <c r="CS16" s="158" t="s">
        <v>102</v>
      </c>
      <c r="CT16" s="189"/>
      <c r="CU16" s="189"/>
      <c r="CV16" s="189"/>
      <c r="CW16" s="189"/>
      <c r="CX16" s="148"/>
      <c r="CY16" s="148"/>
      <c r="CZ16" s="148"/>
      <c r="DA16" s="148"/>
      <c r="DB16" s="148"/>
      <c r="DC16" s="148"/>
      <c r="DD16" s="148"/>
      <c r="DE16" s="237" t="s">
        <v>102</v>
      </c>
      <c r="DF16" s="172" t="s">
        <v>105</v>
      </c>
      <c r="DG16" s="172" t="s">
        <v>100</v>
      </c>
      <c r="DH16" t="s">
        <v>102</v>
      </c>
    </row>
    <row r="17" ht="15" spans="1:112">
      <c r="A17" s="137">
        <v>12</v>
      </c>
      <c r="B17" s="138" t="str">
        <f>'RELACION ESTUDIANTES - 2022'!C16</f>
        <v>MOZO HUAYRA PEDRO CALEB</v>
      </c>
      <c r="C17" s="139"/>
      <c r="D17" s="139" t="s">
        <v>102</v>
      </c>
      <c r="E17" s="139" t="s">
        <v>102</v>
      </c>
      <c r="F17" s="139" t="s">
        <v>102</v>
      </c>
      <c r="G17" s="257"/>
      <c r="H17" s="139" t="str">
        <f t="shared" si="0"/>
        <v>AD</v>
      </c>
      <c r="I17" s="158" t="s">
        <v>102</v>
      </c>
      <c r="J17" s="159"/>
      <c r="K17" s="159" t="s">
        <v>102</v>
      </c>
      <c r="L17" s="159" t="s">
        <v>102</v>
      </c>
      <c r="M17" s="159" t="s">
        <v>105</v>
      </c>
      <c r="N17" s="260"/>
      <c r="O17" s="184"/>
      <c r="P17" s="159" t="str">
        <f t="shared" si="1"/>
        <v>AD</v>
      </c>
      <c r="Q17" s="158" t="s">
        <v>102</v>
      </c>
      <c r="R17" s="170"/>
      <c r="S17" s="171" t="s">
        <v>102</v>
      </c>
      <c r="T17" s="171" t="s">
        <v>101</v>
      </c>
      <c r="U17" s="171" t="s">
        <v>102</v>
      </c>
      <c r="V17" s="172"/>
      <c r="W17" s="172"/>
      <c r="X17" s="173"/>
      <c r="Y17" s="264"/>
      <c r="Z17" s="184"/>
      <c r="AA17" s="170" t="str">
        <f t="shared" si="2"/>
        <v>AD</v>
      </c>
      <c r="AB17" s="158" t="s">
        <v>101</v>
      </c>
      <c r="AC17" s="190"/>
      <c r="AD17" s="190"/>
      <c r="AE17" s="190"/>
      <c r="AF17" s="190"/>
      <c r="AG17" s="190"/>
      <c r="AH17" s="148"/>
      <c r="AI17" s="266" t="s">
        <v>102</v>
      </c>
      <c r="AJ17" s="148" t="s">
        <v>101</v>
      </c>
      <c r="AK17" s="148" t="s">
        <v>105</v>
      </c>
      <c r="AL17" s="173"/>
      <c r="AM17" s="184"/>
      <c r="AN17" s="172"/>
      <c r="AO17" s="148" t="str">
        <f t="shared" si="3"/>
        <v>AD</v>
      </c>
      <c r="AP17" s="158" t="s">
        <v>102</v>
      </c>
      <c r="AQ17" s="159"/>
      <c r="AR17" s="159" t="s">
        <v>101</v>
      </c>
      <c r="AS17" s="159" t="s">
        <v>101</v>
      </c>
      <c r="AT17" s="159" t="s">
        <v>101</v>
      </c>
      <c r="AU17" s="172" t="s">
        <v>102</v>
      </c>
      <c r="AV17" s="267"/>
      <c r="AW17" s="173"/>
      <c r="AX17" s="159" t="str">
        <f t="shared" si="4"/>
        <v>AD</v>
      </c>
      <c r="AY17" s="158" t="s">
        <v>101</v>
      </c>
      <c r="AZ17" s="171"/>
      <c r="BA17" s="171" t="s">
        <v>102</v>
      </c>
      <c r="BB17" s="171" t="s">
        <v>101</v>
      </c>
      <c r="BC17" s="171" t="s">
        <v>101</v>
      </c>
      <c r="BD17" s="171"/>
      <c r="BE17" s="172" t="s">
        <v>102</v>
      </c>
      <c r="BF17" s="267"/>
      <c r="BG17" s="267"/>
      <c r="BH17" s="171" t="str">
        <f t="shared" si="5"/>
        <v>AD</v>
      </c>
      <c r="BI17" s="158" t="s">
        <v>101</v>
      </c>
      <c r="BJ17" s="190"/>
      <c r="BK17" s="190" t="s">
        <v>101</v>
      </c>
      <c r="BL17" s="189" t="s">
        <v>101</v>
      </c>
      <c r="BM17" s="189" t="s">
        <v>101</v>
      </c>
      <c r="BN17" s="184"/>
      <c r="BO17" s="173"/>
      <c r="BP17" s="172" t="s">
        <v>102</v>
      </c>
      <c r="BQ17" s="189" t="str">
        <f t="shared" si="6"/>
        <v>AD</v>
      </c>
      <c r="BR17" s="158" t="s">
        <v>101</v>
      </c>
      <c r="BS17" s="148"/>
      <c r="BT17" s="148"/>
      <c r="BU17" s="148"/>
      <c r="BV17" s="148"/>
      <c r="BW17" s="148"/>
      <c r="BX17" s="159"/>
      <c r="BY17" s="225" t="s">
        <v>101</v>
      </c>
      <c r="BZ17" s="225" t="s">
        <v>101</v>
      </c>
      <c r="CA17" s="225"/>
      <c r="CB17" s="257"/>
      <c r="CC17" s="257"/>
      <c r="CD17" s="257"/>
      <c r="CE17" s="173"/>
      <c r="CF17" s="172" t="s">
        <v>102</v>
      </c>
      <c r="CG17" s="271"/>
      <c r="CH17" s="225" t="str">
        <f t="shared" si="7"/>
        <v>AD</v>
      </c>
      <c r="CI17" s="158" t="s">
        <v>101</v>
      </c>
      <c r="CJ17" s="230"/>
      <c r="CK17" s="230" t="s">
        <v>102</v>
      </c>
      <c r="CL17" s="230"/>
      <c r="CM17" s="230"/>
      <c r="CN17" s="274"/>
      <c r="CO17" s="274"/>
      <c r="CP17" s="172" t="s">
        <v>102</v>
      </c>
      <c r="CQ17" s="184"/>
      <c r="CR17" s="232" t="str">
        <f t="shared" si="8"/>
        <v>AD</v>
      </c>
      <c r="CS17" s="158" t="s">
        <v>102</v>
      </c>
      <c r="CT17" s="189"/>
      <c r="CU17" s="189"/>
      <c r="CV17" s="189"/>
      <c r="CW17" s="189"/>
      <c r="CX17" s="148"/>
      <c r="CY17" s="148"/>
      <c r="CZ17" s="148"/>
      <c r="DA17" s="148"/>
      <c r="DB17" s="148"/>
      <c r="DC17" s="148"/>
      <c r="DD17" s="148"/>
      <c r="DE17" s="237" t="s">
        <v>100</v>
      </c>
      <c r="DF17" s="172" t="s">
        <v>105</v>
      </c>
      <c r="DG17" s="279" t="s">
        <v>102</v>
      </c>
      <c r="DH17" t="s">
        <v>102</v>
      </c>
    </row>
    <row r="18" ht="15" spans="1:112">
      <c r="A18" s="137">
        <v>13</v>
      </c>
      <c r="B18" s="138" t="str">
        <f>'RELACION ESTUDIANTES - 2022'!C17</f>
        <v>NECOCHEA CASTILLO ANTHONY ORLANDO</v>
      </c>
      <c r="C18" s="139"/>
      <c r="D18" s="139" t="s">
        <v>102</v>
      </c>
      <c r="E18" s="139" t="s">
        <v>101</v>
      </c>
      <c r="F18" s="139" t="s">
        <v>102</v>
      </c>
      <c r="G18" s="257"/>
      <c r="H18" s="139" t="str">
        <f t="shared" si="0"/>
        <v>A</v>
      </c>
      <c r="I18" s="158" t="s">
        <v>101</v>
      </c>
      <c r="J18" s="159"/>
      <c r="K18" s="159" t="s">
        <v>100</v>
      </c>
      <c r="L18" s="159" t="s">
        <v>100</v>
      </c>
      <c r="M18" s="159" t="s">
        <v>105</v>
      </c>
      <c r="N18" s="260"/>
      <c r="O18" s="184"/>
      <c r="P18" s="159" t="str">
        <f t="shared" si="1"/>
        <v>A</v>
      </c>
      <c r="Q18" s="158" t="s">
        <v>102</v>
      </c>
      <c r="R18" s="170"/>
      <c r="S18" s="171" t="s">
        <v>100</v>
      </c>
      <c r="T18" s="171" t="s">
        <v>100</v>
      </c>
      <c r="U18" s="171" t="s">
        <v>102</v>
      </c>
      <c r="V18" s="172"/>
      <c r="W18" s="172"/>
      <c r="X18" s="173"/>
      <c r="Y18" s="264"/>
      <c r="Z18" s="184"/>
      <c r="AA18" s="170" t="str">
        <f t="shared" si="2"/>
        <v>A</v>
      </c>
      <c r="AB18" s="158" t="s">
        <v>101</v>
      </c>
      <c r="AC18" s="190"/>
      <c r="AD18" s="190"/>
      <c r="AE18" s="190"/>
      <c r="AF18" s="190"/>
      <c r="AG18" s="190"/>
      <c r="AH18" s="148"/>
      <c r="AI18" s="266" t="s">
        <v>102</v>
      </c>
      <c r="AJ18" s="148" t="s">
        <v>101</v>
      </c>
      <c r="AK18" s="148" t="s">
        <v>101</v>
      </c>
      <c r="AL18" s="173"/>
      <c r="AM18" s="184"/>
      <c r="AN18" s="172"/>
      <c r="AO18" s="148" t="str">
        <f t="shared" si="3"/>
        <v>A</v>
      </c>
      <c r="AP18" s="158" t="s">
        <v>101</v>
      </c>
      <c r="AQ18" s="159"/>
      <c r="AR18" s="159" t="s">
        <v>101</v>
      </c>
      <c r="AS18" s="159" t="s">
        <v>101</v>
      </c>
      <c r="AT18" s="159" t="s">
        <v>101</v>
      </c>
      <c r="AU18" s="172" t="s">
        <v>102</v>
      </c>
      <c r="AV18" s="267"/>
      <c r="AW18" s="173"/>
      <c r="AX18" s="159" t="str">
        <f t="shared" si="4"/>
        <v>A</v>
      </c>
      <c r="AY18" s="137" t="s">
        <v>101</v>
      </c>
      <c r="AZ18" s="171"/>
      <c r="BA18" s="171" t="s">
        <v>105</v>
      </c>
      <c r="BB18" s="171" t="s">
        <v>101</v>
      </c>
      <c r="BC18" s="171" t="s">
        <v>101</v>
      </c>
      <c r="BD18" s="171"/>
      <c r="BE18" s="172" t="s">
        <v>102</v>
      </c>
      <c r="BF18" s="267"/>
      <c r="BG18" s="267"/>
      <c r="BH18" s="171" t="str">
        <f t="shared" si="5"/>
        <v>A</v>
      </c>
      <c r="BI18" s="138" t="s">
        <v>102</v>
      </c>
      <c r="BJ18" s="190"/>
      <c r="BK18" s="190" t="s">
        <v>101</v>
      </c>
      <c r="BL18" s="189" t="s">
        <v>101</v>
      </c>
      <c r="BM18" s="189" t="s">
        <v>101</v>
      </c>
      <c r="BN18" s="184"/>
      <c r="BO18" s="173"/>
      <c r="BP18" s="172" t="s">
        <v>102</v>
      </c>
      <c r="BQ18" s="189" t="str">
        <f t="shared" si="6"/>
        <v>A</v>
      </c>
      <c r="BR18" s="270" t="s">
        <v>101</v>
      </c>
      <c r="BS18" s="148"/>
      <c r="BT18" s="148"/>
      <c r="BU18" s="148"/>
      <c r="BV18" s="148"/>
      <c r="BW18" s="148"/>
      <c r="BX18" s="159"/>
      <c r="BY18" s="225" t="s">
        <v>100</v>
      </c>
      <c r="BZ18" s="225" t="s">
        <v>102</v>
      </c>
      <c r="CA18" s="225"/>
      <c r="CB18" s="257"/>
      <c r="CC18" s="257"/>
      <c r="CD18" s="257"/>
      <c r="CE18" s="173"/>
      <c r="CF18" s="172" t="s">
        <v>102</v>
      </c>
      <c r="CG18" s="271"/>
      <c r="CH18" s="225" t="str">
        <f t="shared" si="7"/>
        <v>A</v>
      </c>
      <c r="CI18" s="270" t="s">
        <v>101</v>
      </c>
      <c r="CJ18" s="230"/>
      <c r="CK18" s="230" t="s">
        <v>102</v>
      </c>
      <c r="CL18" s="230"/>
      <c r="CM18" s="230"/>
      <c r="CN18" s="274"/>
      <c r="CO18" s="274"/>
      <c r="CP18" s="172" t="s">
        <v>102</v>
      </c>
      <c r="CQ18" s="184"/>
      <c r="CR18" s="232" t="str">
        <f t="shared" si="8"/>
        <v>A</v>
      </c>
      <c r="CS18" s="276" t="s">
        <v>102</v>
      </c>
      <c r="CT18" s="189"/>
      <c r="CU18" s="189"/>
      <c r="CV18" s="189"/>
      <c r="CW18" s="189"/>
      <c r="CX18" s="148"/>
      <c r="CY18" s="148"/>
      <c r="CZ18" s="148"/>
      <c r="DA18" s="148"/>
      <c r="DB18" s="148"/>
      <c r="DC18" s="148"/>
      <c r="DD18" s="148"/>
      <c r="DE18" s="237" t="s">
        <v>101</v>
      </c>
      <c r="DF18" s="172" t="s">
        <v>105</v>
      </c>
      <c r="DG18" s="172" t="s">
        <v>100</v>
      </c>
      <c r="DH18" t="s">
        <v>102</v>
      </c>
    </row>
    <row r="19" ht="15" spans="1:112">
      <c r="A19" s="137">
        <v>14</v>
      </c>
      <c r="B19" s="138" t="str">
        <f>'RELACION ESTUDIANTES - 2022'!C18</f>
        <v>ÑAÑEZ CARRASQUEL DIEGO ALEJANDRO</v>
      </c>
      <c r="C19" s="139"/>
      <c r="D19" s="139" t="s">
        <v>101</v>
      </c>
      <c r="E19" s="139" t="s">
        <v>101</v>
      </c>
      <c r="F19" s="139" t="s">
        <v>100</v>
      </c>
      <c r="G19" s="257"/>
      <c r="H19" s="139" t="str">
        <f t="shared" si="0"/>
        <v>B</v>
      </c>
      <c r="I19" s="158" t="s">
        <v>101</v>
      </c>
      <c r="J19" s="159"/>
      <c r="K19" s="159" t="s">
        <v>100</v>
      </c>
      <c r="L19" s="159" t="s">
        <v>102</v>
      </c>
      <c r="M19" s="159" t="s">
        <v>101</v>
      </c>
      <c r="N19" s="260"/>
      <c r="O19" s="184"/>
      <c r="P19" s="159" t="str">
        <f t="shared" si="1"/>
        <v>B</v>
      </c>
      <c r="Q19" s="158" t="s">
        <v>101</v>
      </c>
      <c r="R19" s="170"/>
      <c r="S19" s="171" t="s">
        <v>105</v>
      </c>
      <c r="T19" s="171" t="s">
        <v>100</v>
      </c>
      <c r="U19" s="171" t="s">
        <v>101</v>
      </c>
      <c r="V19" s="172"/>
      <c r="W19" s="172"/>
      <c r="X19" s="173"/>
      <c r="Y19" s="264"/>
      <c r="Z19" s="184"/>
      <c r="AA19" s="170" t="str">
        <f t="shared" si="2"/>
        <v>B</v>
      </c>
      <c r="AB19" s="158" t="s">
        <v>102</v>
      </c>
      <c r="AC19" s="190"/>
      <c r="AD19" s="190"/>
      <c r="AE19" s="190"/>
      <c r="AF19" s="190"/>
      <c r="AG19" s="190"/>
      <c r="AH19" s="148"/>
      <c r="AI19" s="266" t="s">
        <v>101</v>
      </c>
      <c r="AJ19" s="148" t="s">
        <v>101</v>
      </c>
      <c r="AK19" s="148" t="s">
        <v>100</v>
      </c>
      <c r="AL19" s="173"/>
      <c r="AM19" s="184"/>
      <c r="AN19" s="172"/>
      <c r="AO19" s="148" t="str">
        <f t="shared" si="3"/>
        <v>B</v>
      </c>
      <c r="AP19" s="158" t="s">
        <v>101</v>
      </c>
      <c r="AQ19" s="159"/>
      <c r="AR19" s="159" t="s">
        <v>101</v>
      </c>
      <c r="AS19" s="159" t="s">
        <v>100</v>
      </c>
      <c r="AT19" s="159" t="s">
        <v>101</v>
      </c>
      <c r="AU19" s="172" t="s">
        <v>105</v>
      </c>
      <c r="AV19" s="267"/>
      <c r="AW19" s="173"/>
      <c r="AX19" s="159" t="str">
        <f t="shared" si="4"/>
        <v>B</v>
      </c>
      <c r="AY19" s="137" t="s">
        <v>102</v>
      </c>
      <c r="AZ19" s="171"/>
      <c r="BA19" s="171" t="s">
        <v>102</v>
      </c>
      <c r="BB19" s="171" t="s">
        <v>100</v>
      </c>
      <c r="BC19" s="171" t="s">
        <v>105</v>
      </c>
      <c r="BD19" s="171"/>
      <c r="BE19" s="172" t="s">
        <v>105</v>
      </c>
      <c r="BF19" s="267"/>
      <c r="BG19" s="267"/>
      <c r="BH19" s="171" t="str">
        <f t="shared" si="5"/>
        <v>B</v>
      </c>
      <c r="BI19" s="138" t="s">
        <v>102</v>
      </c>
      <c r="BJ19" s="190"/>
      <c r="BK19" s="190" t="s">
        <v>105</v>
      </c>
      <c r="BL19" s="189" t="s">
        <v>105</v>
      </c>
      <c r="BM19" s="189" t="s">
        <v>105</v>
      </c>
      <c r="BN19" s="184"/>
      <c r="BO19" s="173"/>
      <c r="BP19" s="172" t="s">
        <v>105</v>
      </c>
      <c r="BQ19" s="189" t="str">
        <f t="shared" si="6"/>
        <v>B</v>
      </c>
      <c r="BR19" s="270" t="s">
        <v>105</v>
      </c>
      <c r="BS19" s="148"/>
      <c r="BT19" s="148"/>
      <c r="BU19" s="148"/>
      <c r="BV19" s="148"/>
      <c r="BW19" s="148"/>
      <c r="BX19" s="159"/>
      <c r="BY19" s="225" t="s">
        <v>105</v>
      </c>
      <c r="BZ19" s="225" t="s">
        <v>105</v>
      </c>
      <c r="CA19" s="225"/>
      <c r="CB19" s="257"/>
      <c r="CC19" s="257"/>
      <c r="CD19" s="257"/>
      <c r="CE19" s="173"/>
      <c r="CF19" s="172" t="s">
        <v>105</v>
      </c>
      <c r="CG19" s="271"/>
      <c r="CH19" s="225" t="str">
        <f t="shared" si="7"/>
        <v>B</v>
      </c>
      <c r="CI19" s="270" t="s">
        <v>105</v>
      </c>
      <c r="CJ19" s="230"/>
      <c r="CK19" s="230" t="s">
        <v>105</v>
      </c>
      <c r="CL19" s="230"/>
      <c r="CM19" s="230"/>
      <c r="CN19" s="274"/>
      <c r="CO19" s="274"/>
      <c r="CP19" s="172" t="s">
        <v>105</v>
      </c>
      <c r="CQ19" s="184"/>
      <c r="CR19" s="232" t="str">
        <f t="shared" si="8"/>
        <v>B</v>
      </c>
      <c r="CS19" s="276" t="s">
        <v>105</v>
      </c>
      <c r="CT19" s="189"/>
      <c r="CU19" s="189"/>
      <c r="CV19" s="189"/>
      <c r="CW19" s="189"/>
      <c r="CX19" s="148"/>
      <c r="CY19" s="148"/>
      <c r="CZ19" s="148"/>
      <c r="DA19" s="148"/>
      <c r="DB19" s="148"/>
      <c r="DC19" s="148"/>
      <c r="DD19" s="148"/>
      <c r="DE19" s="237" t="s">
        <v>102</v>
      </c>
      <c r="DF19" s="172" t="s">
        <v>105</v>
      </c>
      <c r="DG19" s="172" t="s">
        <v>105</v>
      </c>
      <c r="DH19" t="s">
        <v>105</v>
      </c>
    </row>
    <row r="20" ht="15" spans="1:112">
      <c r="A20" s="137">
        <v>15</v>
      </c>
      <c r="B20" s="138" t="str">
        <f>'RELACION ESTUDIANTES - 2022'!C19</f>
        <v>PEREZ MUÑOZ SAMIER ALEJANDRO</v>
      </c>
      <c r="C20" s="139"/>
      <c r="D20" s="139" t="s">
        <v>101</v>
      </c>
      <c r="E20" s="139" t="s">
        <v>101</v>
      </c>
      <c r="F20" s="139" t="s">
        <v>102</v>
      </c>
      <c r="G20" s="257"/>
      <c r="H20" s="139" t="str">
        <f t="shared" si="0"/>
        <v>A</v>
      </c>
      <c r="I20" s="158" t="s">
        <v>101</v>
      </c>
      <c r="J20" s="159"/>
      <c r="K20" s="159" t="s">
        <v>100</v>
      </c>
      <c r="L20" s="159" t="s">
        <v>100</v>
      </c>
      <c r="M20" s="159" t="s">
        <v>100</v>
      </c>
      <c r="N20" s="260"/>
      <c r="O20" s="184"/>
      <c r="P20" s="159" t="str">
        <f t="shared" si="1"/>
        <v>A</v>
      </c>
      <c r="Q20" s="158" t="s">
        <v>100</v>
      </c>
      <c r="R20" s="170"/>
      <c r="S20" s="171" t="s">
        <v>100</v>
      </c>
      <c r="T20" s="171" t="s">
        <v>100</v>
      </c>
      <c r="U20" s="171" t="s">
        <v>102</v>
      </c>
      <c r="V20" s="172"/>
      <c r="W20" s="172"/>
      <c r="X20" s="173"/>
      <c r="Y20" s="264"/>
      <c r="Z20" s="184"/>
      <c r="AA20" s="170" t="str">
        <f t="shared" si="2"/>
        <v>A</v>
      </c>
      <c r="AB20" s="158" t="s">
        <v>101</v>
      </c>
      <c r="AC20" s="190"/>
      <c r="AD20" s="190"/>
      <c r="AE20" s="190"/>
      <c r="AF20" s="190"/>
      <c r="AG20" s="190"/>
      <c r="AH20" s="148"/>
      <c r="AI20" s="266" t="s">
        <v>100</v>
      </c>
      <c r="AJ20" s="148" t="s">
        <v>105</v>
      </c>
      <c r="AK20" s="148" t="s">
        <v>105</v>
      </c>
      <c r="AL20" s="173"/>
      <c r="AM20" s="184"/>
      <c r="AN20" s="172"/>
      <c r="AO20" s="148" t="str">
        <f t="shared" si="3"/>
        <v>A</v>
      </c>
      <c r="AP20" s="158" t="s">
        <v>102</v>
      </c>
      <c r="AQ20" s="159"/>
      <c r="AR20" s="159" t="s">
        <v>101</v>
      </c>
      <c r="AS20" s="159" t="s">
        <v>101</v>
      </c>
      <c r="AT20" s="159" t="s">
        <v>101</v>
      </c>
      <c r="AU20" s="172" t="s">
        <v>101</v>
      </c>
      <c r="AV20" s="267"/>
      <c r="AW20" s="173"/>
      <c r="AX20" s="159" t="str">
        <f t="shared" si="4"/>
        <v>A</v>
      </c>
      <c r="AY20" s="158" t="s">
        <v>101</v>
      </c>
      <c r="AZ20" s="171"/>
      <c r="BA20" s="171" t="s">
        <v>101</v>
      </c>
      <c r="BB20" s="171" t="s">
        <v>100</v>
      </c>
      <c r="BC20" s="171" t="s">
        <v>101</v>
      </c>
      <c r="BD20" s="171"/>
      <c r="BE20" s="172" t="s">
        <v>101</v>
      </c>
      <c r="BF20" s="267"/>
      <c r="BG20" s="267"/>
      <c r="BH20" s="171" t="str">
        <f t="shared" si="5"/>
        <v>A</v>
      </c>
      <c r="BI20" s="158" t="s">
        <v>101</v>
      </c>
      <c r="BJ20" s="190"/>
      <c r="BK20" s="190" t="s">
        <v>101</v>
      </c>
      <c r="BL20" s="189" t="s">
        <v>101</v>
      </c>
      <c r="BM20" s="189" t="s">
        <v>100</v>
      </c>
      <c r="BN20" s="184"/>
      <c r="BO20" s="173"/>
      <c r="BP20" s="172" t="s">
        <v>101</v>
      </c>
      <c r="BQ20" s="189" t="str">
        <f t="shared" si="6"/>
        <v>A</v>
      </c>
      <c r="BR20" s="158" t="s">
        <v>101</v>
      </c>
      <c r="BS20" s="148"/>
      <c r="BT20" s="148"/>
      <c r="BU20" s="148"/>
      <c r="BV20" s="148"/>
      <c r="BW20" s="148"/>
      <c r="BX20" s="159"/>
      <c r="BY20" s="225" t="s">
        <v>100</v>
      </c>
      <c r="BZ20" s="225" t="s">
        <v>101</v>
      </c>
      <c r="CA20" s="225"/>
      <c r="CB20" s="257"/>
      <c r="CC20" s="257"/>
      <c r="CD20" s="257"/>
      <c r="CE20" s="173"/>
      <c r="CF20" s="172" t="s">
        <v>101</v>
      </c>
      <c r="CG20" s="271"/>
      <c r="CH20" s="225" t="str">
        <f t="shared" si="7"/>
        <v>A</v>
      </c>
      <c r="CI20" s="158" t="s">
        <v>101</v>
      </c>
      <c r="CJ20" s="230"/>
      <c r="CK20" s="230" t="s">
        <v>100</v>
      </c>
      <c r="CL20" s="230"/>
      <c r="CM20" s="230"/>
      <c r="CN20" s="274"/>
      <c r="CO20" s="274"/>
      <c r="CP20" s="172" t="s">
        <v>101</v>
      </c>
      <c r="CQ20" s="184"/>
      <c r="CR20" s="232" t="str">
        <f t="shared" si="8"/>
        <v>A</v>
      </c>
      <c r="CS20" s="158" t="s">
        <v>101</v>
      </c>
      <c r="CT20" s="189"/>
      <c r="CU20" s="189"/>
      <c r="CV20" s="189"/>
      <c r="CW20" s="189"/>
      <c r="CX20" s="148"/>
      <c r="CY20" s="148"/>
      <c r="CZ20" s="148"/>
      <c r="DA20" s="148"/>
      <c r="DB20" s="148"/>
      <c r="DC20" s="148"/>
      <c r="DD20" s="148"/>
      <c r="DE20" s="237" t="s">
        <v>101</v>
      </c>
      <c r="DF20" s="172" t="s">
        <v>102</v>
      </c>
      <c r="DG20" s="172" t="s">
        <v>100</v>
      </c>
      <c r="DH20" t="s">
        <v>101</v>
      </c>
    </row>
    <row r="21" ht="15" spans="1:112">
      <c r="A21" s="137">
        <v>16</v>
      </c>
      <c r="B21" s="138" t="str">
        <f>'RELACION ESTUDIANTES - 2022'!C20</f>
        <v>PICHARDE AQUINO CARLOS GABRIEL</v>
      </c>
      <c r="C21" s="139"/>
      <c r="D21" s="139" t="s">
        <v>101</v>
      </c>
      <c r="E21" s="139" t="s">
        <v>105</v>
      </c>
      <c r="F21" s="139" t="s">
        <v>100</v>
      </c>
      <c r="G21" s="257"/>
      <c r="H21" s="139" t="str">
        <f t="shared" si="0"/>
        <v>A</v>
      </c>
      <c r="I21" s="158" t="s">
        <v>102</v>
      </c>
      <c r="J21" s="159"/>
      <c r="K21" s="159" t="s">
        <v>100</v>
      </c>
      <c r="L21" s="159" t="s">
        <v>100</v>
      </c>
      <c r="M21" s="159" t="s">
        <v>100</v>
      </c>
      <c r="N21" s="260"/>
      <c r="O21" s="184"/>
      <c r="P21" s="159" t="str">
        <f t="shared" si="1"/>
        <v>A</v>
      </c>
      <c r="Q21" s="158" t="s">
        <v>100</v>
      </c>
      <c r="R21" s="170"/>
      <c r="S21" s="171" t="s">
        <v>101</v>
      </c>
      <c r="T21" s="171" t="s">
        <v>100</v>
      </c>
      <c r="U21" s="171" t="s">
        <v>102</v>
      </c>
      <c r="V21" s="172"/>
      <c r="W21" s="172"/>
      <c r="X21" s="173"/>
      <c r="Y21" s="264"/>
      <c r="Z21" s="184"/>
      <c r="AA21" s="170" t="str">
        <f t="shared" si="2"/>
        <v>A</v>
      </c>
      <c r="AB21" s="158" t="s">
        <v>101</v>
      </c>
      <c r="AC21" s="190"/>
      <c r="AD21" s="190"/>
      <c r="AE21" s="190"/>
      <c r="AF21" s="190"/>
      <c r="AG21" s="190"/>
      <c r="AH21" s="139"/>
      <c r="AI21" s="266" t="s">
        <v>100</v>
      </c>
      <c r="AJ21" s="148" t="s">
        <v>101</v>
      </c>
      <c r="AK21" s="148" t="s">
        <v>105</v>
      </c>
      <c r="AL21" s="173"/>
      <c r="AM21" s="184"/>
      <c r="AN21" s="172"/>
      <c r="AO21" s="148" t="str">
        <f t="shared" si="3"/>
        <v>A</v>
      </c>
      <c r="AP21" s="158" t="s">
        <v>102</v>
      </c>
      <c r="AQ21" s="159"/>
      <c r="AR21" s="159" t="s">
        <v>101</v>
      </c>
      <c r="AS21" s="159" t="s">
        <v>101</v>
      </c>
      <c r="AT21" s="159" t="s">
        <v>101</v>
      </c>
      <c r="AU21" s="172" t="s">
        <v>101</v>
      </c>
      <c r="AV21" s="267"/>
      <c r="AW21" s="173"/>
      <c r="AX21" s="159" t="str">
        <f t="shared" si="4"/>
        <v>A</v>
      </c>
      <c r="AY21" s="158" t="s">
        <v>101</v>
      </c>
      <c r="AZ21" s="171"/>
      <c r="BA21" s="171" t="s">
        <v>101</v>
      </c>
      <c r="BB21" s="171" t="s">
        <v>100</v>
      </c>
      <c r="BC21" s="171" t="s">
        <v>105</v>
      </c>
      <c r="BD21" s="171"/>
      <c r="BE21" s="172" t="s">
        <v>101</v>
      </c>
      <c r="BF21" s="267"/>
      <c r="BG21" s="267"/>
      <c r="BH21" s="171" t="str">
        <f t="shared" si="5"/>
        <v>A</v>
      </c>
      <c r="BI21" s="158" t="s">
        <v>102</v>
      </c>
      <c r="BJ21" s="190"/>
      <c r="BK21" s="190" t="s">
        <v>100</v>
      </c>
      <c r="BL21" s="189" t="s">
        <v>101</v>
      </c>
      <c r="BM21" s="189" t="s">
        <v>100</v>
      </c>
      <c r="BN21" s="184"/>
      <c r="BO21" s="173"/>
      <c r="BP21" s="172" t="s">
        <v>101</v>
      </c>
      <c r="BQ21" s="189" t="str">
        <f t="shared" si="6"/>
        <v>A</v>
      </c>
      <c r="BR21" s="158" t="s">
        <v>101</v>
      </c>
      <c r="BS21" s="148"/>
      <c r="BT21" s="148"/>
      <c r="BU21" s="148"/>
      <c r="BV21" s="148"/>
      <c r="BW21" s="148"/>
      <c r="BX21" s="159"/>
      <c r="BY21" s="225" t="s">
        <v>100</v>
      </c>
      <c r="BZ21" s="225" t="s">
        <v>101</v>
      </c>
      <c r="CA21" s="225"/>
      <c r="CB21" s="257"/>
      <c r="CC21" s="257"/>
      <c r="CD21" s="257"/>
      <c r="CE21" s="173"/>
      <c r="CF21" s="172" t="s">
        <v>101</v>
      </c>
      <c r="CG21" s="271"/>
      <c r="CH21" s="225" t="str">
        <f t="shared" si="7"/>
        <v>A</v>
      </c>
      <c r="CI21" s="158" t="s">
        <v>101</v>
      </c>
      <c r="CJ21" s="230"/>
      <c r="CK21" s="230" t="s">
        <v>100</v>
      </c>
      <c r="CL21" s="230"/>
      <c r="CM21" s="230"/>
      <c r="CN21" s="274"/>
      <c r="CO21" s="274"/>
      <c r="CP21" s="172" t="s">
        <v>101</v>
      </c>
      <c r="CQ21" s="184"/>
      <c r="CR21" s="232" t="str">
        <f t="shared" si="8"/>
        <v>A</v>
      </c>
      <c r="CS21" s="158" t="s">
        <v>101</v>
      </c>
      <c r="CT21" s="277"/>
      <c r="CU21" s="277"/>
      <c r="CV21" s="277"/>
      <c r="CW21" s="277"/>
      <c r="CX21" s="148"/>
      <c r="CY21" s="148"/>
      <c r="CZ21" s="148"/>
      <c r="DA21" s="148"/>
      <c r="DB21" s="148"/>
      <c r="DC21" s="148"/>
      <c r="DD21" s="148"/>
      <c r="DE21" s="237" t="s">
        <v>101</v>
      </c>
      <c r="DF21" s="172" t="s">
        <v>102</v>
      </c>
      <c r="DG21" s="172" t="s">
        <v>100</v>
      </c>
      <c r="DH21" t="s">
        <v>101</v>
      </c>
    </row>
    <row r="22" ht="15" spans="1:112">
      <c r="A22" s="137">
        <v>18</v>
      </c>
      <c r="B22" s="138" t="str">
        <f>'RELACION ESTUDIANTES - 2022'!C21</f>
        <v>VEGA CANALES ALVEYRO CRISTOBAL</v>
      </c>
      <c r="C22" s="139"/>
      <c r="D22" s="139" t="s">
        <v>102</v>
      </c>
      <c r="E22" s="139" t="s">
        <v>105</v>
      </c>
      <c r="F22" s="139" t="s">
        <v>102</v>
      </c>
      <c r="G22" s="257"/>
      <c r="H22" s="139" t="str">
        <f t="shared" si="0"/>
        <v>C</v>
      </c>
      <c r="I22" s="158" t="s">
        <v>102</v>
      </c>
      <c r="J22" s="159"/>
      <c r="K22" s="159" t="s">
        <v>105</v>
      </c>
      <c r="L22" s="159" t="s">
        <v>102</v>
      </c>
      <c r="M22" s="159" t="s">
        <v>105</v>
      </c>
      <c r="N22" s="260"/>
      <c r="O22" s="184"/>
      <c r="P22" s="159" t="str">
        <f t="shared" si="1"/>
        <v>C</v>
      </c>
      <c r="Q22" s="158" t="s">
        <v>102</v>
      </c>
      <c r="R22" s="170"/>
      <c r="S22" s="171" t="s">
        <v>105</v>
      </c>
      <c r="T22" s="171" t="s">
        <v>105</v>
      </c>
      <c r="U22" s="171" t="s">
        <v>105</v>
      </c>
      <c r="V22" s="177"/>
      <c r="W22" s="177"/>
      <c r="X22" s="177"/>
      <c r="Y22" s="265"/>
      <c r="Z22" s="184"/>
      <c r="AA22" s="170" t="str">
        <f t="shared" si="2"/>
        <v>C</v>
      </c>
      <c r="AB22" s="158" t="s">
        <v>105</v>
      </c>
      <c r="AC22" s="189"/>
      <c r="AD22" s="190"/>
      <c r="AE22" s="190"/>
      <c r="AF22" s="190"/>
      <c r="AG22" s="189"/>
      <c r="AH22" s="139"/>
      <c r="AI22" s="266" t="s">
        <v>105</v>
      </c>
      <c r="AJ22" s="148" t="s">
        <v>105</v>
      </c>
      <c r="AK22" s="148" t="s">
        <v>105</v>
      </c>
      <c r="AL22" s="173"/>
      <c r="AM22" s="184"/>
      <c r="AN22" s="172"/>
      <c r="AO22" s="148" t="str">
        <f t="shared" si="3"/>
        <v>C</v>
      </c>
      <c r="AP22" s="158" t="s">
        <v>105</v>
      </c>
      <c r="AQ22" s="159"/>
      <c r="AR22" s="159" t="s">
        <v>105</v>
      </c>
      <c r="AS22" s="159" t="s">
        <v>105</v>
      </c>
      <c r="AT22" s="159" t="s">
        <v>105</v>
      </c>
      <c r="AU22" s="172" t="s">
        <v>105</v>
      </c>
      <c r="AV22" s="268"/>
      <c r="AW22" s="177"/>
      <c r="AX22" s="159" t="str">
        <f t="shared" si="4"/>
        <v>C</v>
      </c>
      <c r="AY22" s="158" t="s">
        <v>105</v>
      </c>
      <c r="AZ22" s="171"/>
      <c r="BA22" s="171" t="s">
        <v>105</v>
      </c>
      <c r="BB22" s="171" t="s">
        <v>105</v>
      </c>
      <c r="BC22" s="171" t="s">
        <v>101</v>
      </c>
      <c r="BD22" s="171"/>
      <c r="BE22" s="172" t="s">
        <v>105</v>
      </c>
      <c r="BF22" s="267"/>
      <c r="BG22" s="267"/>
      <c r="BH22" s="171" t="str">
        <f t="shared" si="5"/>
        <v>C</v>
      </c>
      <c r="BI22" s="158" t="s">
        <v>105</v>
      </c>
      <c r="BJ22" s="190"/>
      <c r="BK22" s="190" t="s">
        <v>105</v>
      </c>
      <c r="BL22" s="189" t="s">
        <v>105</v>
      </c>
      <c r="BM22" s="189" t="s">
        <v>105</v>
      </c>
      <c r="BN22" s="184"/>
      <c r="BO22" s="173"/>
      <c r="BP22" s="172" t="s">
        <v>105</v>
      </c>
      <c r="BQ22" s="189" t="str">
        <f t="shared" si="6"/>
        <v>C</v>
      </c>
      <c r="BR22" s="158" t="s">
        <v>105</v>
      </c>
      <c r="BS22" s="148"/>
      <c r="BT22" s="148"/>
      <c r="BU22" s="148"/>
      <c r="BV22" s="148"/>
      <c r="BW22" s="148"/>
      <c r="BX22" s="159"/>
      <c r="BY22" s="225" t="s">
        <v>105</v>
      </c>
      <c r="BZ22" s="225" t="s">
        <v>105</v>
      </c>
      <c r="CA22" s="225"/>
      <c r="CB22" s="257"/>
      <c r="CC22" s="257"/>
      <c r="CD22" s="257"/>
      <c r="CE22" s="173"/>
      <c r="CF22" s="172" t="s">
        <v>105</v>
      </c>
      <c r="CG22" s="273"/>
      <c r="CH22" s="225" t="str">
        <f t="shared" si="7"/>
        <v>C</v>
      </c>
      <c r="CI22" s="158" t="s">
        <v>105</v>
      </c>
      <c r="CJ22" s="171"/>
      <c r="CK22" s="230" t="s">
        <v>105</v>
      </c>
      <c r="CL22" s="230"/>
      <c r="CM22" s="171"/>
      <c r="CN22" s="275"/>
      <c r="CO22" s="275"/>
      <c r="CP22" s="172" t="s">
        <v>105</v>
      </c>
      <c r="CQ22" s="184"/>
      <c r="CR22" s="232" t="str">
        <f t="shared" si="8"/>
        <v>C</v>
      </c>
      <c r="CS22" s="158" t="s">
        <v>105</v>
      </c>
      <c r="CT22" s="189"/>
      <c r="CU22" s="189"/>
      <c r="CV22" s="189"/>
      <c r="CW22" s="189"/>
      <c r="CX22" s="148"/>
      <c r="CY22" s="148"/>
      <c r="CZ22" s="148"/>
      <c r="DA22" s="148"/>
      <c r="DB22" s="148"/>
      <c r="DC22" s="148"/>
      <c r="DD22" s="148"/>
      <c r="DE22" s="237" t="s">
        <v>105</v>
      </c>
      <c r="DF22" s="172" t="s">
        <v>105</v>
      </c>
      <c r="DG22" s="172" t="s">
        <v>105</v>
      </c>
      <c r="DH22" t="s">
        <v>105</v>
      </c>
    </row>
    <row r="23" ht="15" spans="1:111">
      <c r="A23" s="137">
        <v>19</v>
      </c>
      <c r="B23" s="138">
        <f>'RELACION ESTUDIANTES - 2022'!C22</f>
        <v>0</v>
      </c>
      <c r="C23" s="139"/>
      <c r="D23" s="139"/>
      <c r="E23" s="139"/>
      <c r="F23" s="139"/>
      <c r="G23" s="257"/>
      <c r="H23" s="139">
        <f t="shared" si="0"/>
        <v>0</v>
      </c>
      <c r="I23" s="158"/>
      <c r="J23" s="159"/>
      <c r="K23" s="159"/>
      <c r="L23" s="159"/>
      <c r="M23" s="159"/>
      <c r="N23" s="260"/>
      <c r="O23" s="184"/>
      <c r="P23" s="159">
        <f t="shared" si="1"/>
        <v>0</v>
      </c>
      <c r="Q23" s="158"/>
      <c r="R23" s="170"/>
      <c r="S23" s="171"/>
      <c r="T23" s="171"/>
      <c r="U23" s="171"/>
      <c r="V23" s="172"/>
      <c r="W23" s="172"/>
      <c r="X23" s="173"/>
      <c r="Y23" s="264"/>
      <c r="Z23" s="184"/>
      <c r="AA23" s="170">
        <f t="shared" si="2"/>
        <v>0</v>
      </c>
      <c r="AB23" s="158"/>
      <c r="AC23" s="189"/>
      <c r="AD23" s="189"/>
      <c r="AE23" s="189"/>
      <c r="AF23" s="189"/>
      <c r="AG23" s="189"/>
      <c r="AH23" s="139"/>
      <c r="AI23" s="148"/>
      <c r="AJ23" s="148"/>
      <c r="AK23" s="148"/>
      <c r="AL23" s="173"/>
      <c r="AM23" s="184"/>
      <c r="AN23" s="172"/>
      <c r="AO23" s="148">
        <f t="shared" si="3"/>
        <v>0</v>
      </c>
      <c r="AP23" s="158"/>
      <c r="AQ23" s="159"/>
      <c r="AR23" s="159"/>
      <c r="AS23" s="159"/>
      <c r="AT23" s="159"/>
      <c r="AU23" s="172"/>
      <c r="AV23" s="267"/>
      <c r="AW23" s="267"/>
      <c r="AX23" s="159">
        <f t="shared" si="4"/>
        <v>0</v>
      </c>
      <c r="AY23" s="158"/>
      <c r="AZ23" s="171"/>
      <c r="BA23" s="171"/>
      <c r="BB23" s="171"/>
      <c r="BC23" s="171"/>
      <c r="BD23" s="171"/>
      <c r="BE23" s="172"/>
      <c r="BF23" s="267"/>
      <c r="BG23" s="267"/>
      <c r="BH23" s="171">
        <f t="shared" si="5"/>
        <v>0</v>
      </c>
      <c r="BI23" s="158"/>
      <c r="BJ23" s="190"/>
      <c r="BK23" s="189"/>
      <c r="BL23" s="189"/>
      <c r="BM23" s="189"/>
      <c r="BN23" s="184"/>
      <c r="BO23" s="173"/>
      <c r="BP23" s="172"/>
      <c r="BQ23" s="189"/>
      <c r="BR23" s="158"/>
      <c r="BS23" s="148"/>
      <c r="BT23" s="148"/>
      <c r="BU23" s="148"/>
      <c r="BV23" s="148"/>
      <c r="BW23" s="148"/>
      <c r="BX23" s="159"/>
      <c r="BY23" s="225"/>
      <c r="BZ23" s="225"/>
      <c r="CA23" s="225"/>
      <c r="CB23" s="225"/>
      <c r="CC23" s="225"/>
      <c r="CD23" s="257"/>
      <c r="CE23" s="173"/>
      <c r="CF23" s="172"/>
      <c r="CG23" s="184"/>
      <c r="CH23" s="225">
        <f t="shared" si="7"/>
        <v>0</v>
      </c>
      <c r="CI23" s="158"/>
      <c r="CJ23" s="171"/>
      <c r="CK23" s="230"/>
      <c r="CL23" s="171"/>
      <c r="CM23" s="171"/>
      <c r="CN23" s="275"/>
      <c r="CO23" s="275"/>
      <c r="CP23" s="172"/>
      <c r="CQ23" s="184"/>
      <c r="CR23" s="232">
        <f t="shared" si="8"/>
        <v>0</v>
      </c>
      <c r="CS23" s="158"/>
      <c r="CT23" s="189"/>
      <c r="CU23" s="189"/>
      <c r="CV23" s="189"/>
      <c r="CW23" s="189"/>
      <c r="CX23" s="148"/>
      <c r="CY23" s="148"/>
      <c r="CZ23" s="148"/>
      <c r="DA23" s="148"/>
      <c r="DB23" s="148"/>
      <c r="DC23" s="148"/>
      <c r="DD23" s="148"/>
      <c r="DE23" s="237"/>
      <c r="DF23">
        <f t="shared" ref="DE22:DF34" si="9">COUNTIF(AC23:DB23,"OK")</f>
        <v>0</v>
      </c>
      <c r="DG23">
        <f t="shared" ref="DG22:DG33" si="10">DF23*2+4</f>
        <v>4</v>
      </c>
    </row>
    <row r="24" ht="15" spans="1:111">
      <c r="A24" s="137">
        <v>20</v>
      </c>
      <c r="B24" s="138">
        <f>'RELACION ESTUDIANTES - 2022'!C23</f>
        <v>0</v>
      </c>
      <c r="C24" s="139"/>
      <c r="D24" s="139"/>
      <c r="E24" s="139"/>
      <c r="F24" s="139"/>
      <c r="G24" s="257"/>
      <c r="H24" s="139">
        <f t="shared" si="0"/>
        <v>0</v>
      </c>
      <c r="I24" s="158"/>
      <c r="J24" s="159"/>
      <c r="K24" s="159"/>
      <c r="L24" s="159"/>
      <c r="M24" s="159"/>
      <c r="N24" s="260"/>
      <c r="O24" s="184"/>
      <c r="P24" s="159">
        <f t="shared" si="1"/>
        <v>0</v>
      </c>
      <c r="Q24" s="158"/>
      <c r="R24" s="170"/>
      <c r="S24" s="171"/>
      <c r="T24" s="171"/>
      <c r="U24" s="171"/>
      <c r="V24" s="172"/>
      <c r="W24" s="172"/>
      <c r="X24" s="173"/>
      <c r="Y24" s="264"/>
      <c r="Z24" s="184"/>
      <c r="AA24" s="170">
        <f t="shared" si="2"/>
        <v>0</v>
      </c>
      <c r="AB24" s="158"/>
      <c r="AC24" s="189"/>
      <c r="AD24" s="189"/>
      <c r="AE24" s="189"/>
      <c r="AF24" s="189"/>
      <c r="AG24" s="189"/>
      <c r="AH24" s="139"/>
      <c r="AI24" s="148"/>
      <c r="AJ24" s="148"/>
      <c r="AK24" s="148"/>
      <c r="AL24" s="173"/>
      <c r="AM24" s="184"/>
      <c r="AN24" s="172"/>
      <c r="AO24" s="148">
        <f t="shared" si="3"/>
        <v>0</v>
      </c>
      <c r="AP24" s="158"/>
      <c r="AQ24" s="159"/>
      <c r="AR24" s="159"/>
      <c r="AS24" s="159"/>
      <c r="AT24" s="159"/>
      <c r="AU24" s="172"/>
      <c r="AV24" s="267"/>
      <c r="AW24" s="267"/>
      <c r="AX24" s="159">
        <f t="shared" si="4"/>
        <v>0</v>
      </c>
      <c r="AY24" s="158"/>
      <c r="AZ24" s="171"/>
      <c r="BA24" s="171"/>
      <c r="BB24" s="171"/>
      <c r="BC24" s="171"/>
      <c r="BD24" s="171"/>
      <c r="BE24" s="172" t="s">
        <v>107</v>
      </c>
      <c r="BF24" s="267"/>
      <c r="BG24" s="267"/>
      <c r="BH24" s="171">
        <f t="shared" si="5"/>
        <v>0</v>
      </c>
      <c r="BI24" s="158"/>
      <c r="BJ24" s="190"/>
      <c r="BK24" s="189"/>
      <c r="BL24" s="189"/>
      <c r="BM24" s="189"/>
      <c r="BN24" s="184"/>
      <c r="BO24" s="173"/>
      <c r="BP24" s="172"/>
      <c r="BQ24" s="189"/>
      <c r="BR24" s="158"/>
      <c r="BS24" s="148"/>
      <c r="BT24" s="148"/>
      <c r="BU24" s="148"/>
      <c r="BV24" s="148"/>
      <c r="BW24" s="148"/>
      <c r="BX24" s="159"/>
      <c r="BY24" s="225"/>
      <c r="BZ24" s="225"/>
      <c r="CA24" s="225" t="s">
        <v>229</v>
      </c>
      <c r="CB24" s="225"/>
      <c r="CC24" s="225"/>
      <c r="CD24" s="257"/>
      <c r="CE24" s="173"/>
      <c r="CF24" s="172" t="s">
        <v>103</v>
      </c>
      <c r="CG24" s="184"/>
      <c r="CH24" s="225">
        <f t="shared" si="7"/>
        <v>0</v>
      </c>
      <c r="CI24" s="158"/>
      <c r="CJ24" s="171"/>
      <c r="CK24" s="230"/>
      <c r="CL24" s="171"/>
      <c r="CM24" s="171"/>
      <c r="CN24" s="275"/>
      <c r="CO24" s="275"/>
      <c r="CP24" s="172"/>
      <c r="CQ24" s="184"/>
      <c r="CR24" s="232">
        <f t="shared" si="8"/>
        <v>0</v>
      </c>
      <c r="CS24" s="158"/>
      <c r="CT24" s="195"/>
      <c r="CU24" s="195"/>
      <c r="CV24" s="195"/>
      <c r="CW24" s="195"/>
      <c r="CX24" s="148"/>
      <c r="CY24" s="148"/>
      <c r="CZ24" s="148"/>
      <c r="DA24" s="148"/>
      <c r="DB24" s="148"/>
      <c r="DC24" s="148"/>
      <c r="DD24" s="148"/>
      <c r="DE24" s="237"/>
      <c r="DF24">
        <f t="shared" si="9"/>
        <v>0</v>
      </c>
      <c r="DG24">
        <f t="shared" si="10"/>
        <v>4</v>
      </c>
    </row>
    <row r="25" ht="15" spans="1:111">
      <c r="A25" s="137">
        <v>21</v>
      </c>
      <c r="B25" s="138"/>
      <c r="C25" s="139"/>
      <c r="D25" s="139"/>
      <c r="E25" s="139"/>
      <c r="F25" s="139"/>
      <c r="G25" s="139"/>
      <c r="H25" s="148"/>
      <c r="I25" s="158"/>
      <c r="J25" s="159"/>
      <c r="K25" s="159"/>
      <c r="L25" s="159"/>
      <c r="M25" s="159"/>
      <c r="N25" s="159"/>
      <c r="O25" s="159"/>
      <c r="P25" s="159"/>
      <c r="Q25" s="158"/>
      <c r="R25" s="170"/>
      <c r="S25" s="170"/>
      <c r="T25" s="170"/>
      <c r="U25" s="170"/>
      <c r="V25" s="170"/>
      <c r="W25" s="170"/>
      <c r="X25" s="170"/>
      <c r="Y25" s="170"/>
      <c r="Z25" s="170"/>
      <c r="AA25" s="170"/>
      <c r="AB25" s="158"/>
      <c r="AC25" s="189"/>
      <c r="AD25" s="190"/>
      <c r="AE25" s="190"/>
      <c r="AF25" s="190"/>
      <c r="AG25" s="189"/>
      <c r="AH25" s="139"/>
      <c r="AI25" s="139"/>
      <c r="AJ25" s="148"/>
      <c r="AK25" s="139"/>
      <c r="AL25" s="139"/>
      <c r="AM25" s="139"/>
      <c r="AN25" s="139"/>
      <c r="AO25" s="139"/>
      <c r="AP25" s="158"/>
      <c r="AQ25" s="159"/>
      <c r="AR25" s="159"/>
      <c r="AS25" s="159"/>
      <c r="AT25" s="159"/>
      <c r="AU25" s="159"/>
      <c r="AV25" s="159"/>
      <c r="AW25" s="159"/>
      <c r="AX25" s="159"/>
      <c r="AY25" s="158"/>
      <c r="AZ25" s="171"/>
      <c r="BA25" s="171"/>
      <c r="BB25" s="171"/>
      <c r="BC25" s="171"/>
      <c r="BD25" s="171"/>
      <c r="BE25" s="171"/>
      <c r="BF25" s="171"/>
      <c r="BG25" s="171"/>
      <c r="BH25" s="171"/>
      <c r="BI25" s="158"/>
      <c r="BJ25" s="190"/>
      <c r="BK25" s="189"/>
      <c r="BL25" s="189"/>
      <c r="BM25" s="189"/>
      <c r="BN25" s="189"/>
      <c r="BO25" s="189"/>
      <c r="BP25" s="189"/>
      <c r="BQ25" s="189"/>
      <c r="BR25" s="158"/>
      <c r="BS25" s="148"/>
      <c r="BT25" s="148"/>
      <c r="BU25" s="148"/>
      <c r="BV25" s="148"/>
      <c r="BW25" s="148"/>
      <c r="BX25" s="159" t="str">
        <f t="shared" ref="BX25:BX37" si="11">IF(BY25&gt;=18,"AD",IF(BY25&gt;=15,"A",IF(BY25&gt;=11,"B"," ")))</f>
        <v> </v>
      </c>
      <c r="BY25" s="225"/>
      <c r="BZ25" s="225"/>
      <c r="CA25" s="225" t="s">
        <v>230</v>
      </c>
      <c r="CB25" s="225"/>
      <c r="CC25" s="225"/>
      <c r="CD25" s="225"/>
      <c r="CE25" s="225"/>
      <c r="CF25" s="225" t="s">
        <v>230</v>
      </c>
      <c r="CG25" s="225"/>
      <c r="CH25" s="225"/>
      <c r="CI25" s="158"/>
      <c r="CJ25" s="171" t="str">
        <f t="shared" ref="CJ25:CJ36" si="12">IF(CM25&gt;=18,"AD",IF(CM25&gt;=15,"A",IF(CM25&gt;=11,"B"," ")))</f>
        <v> </v>
      </c>
      <c r="CK25" s="171"/>
      <c r="CL25" s="171"/>
      <c r="CM25" s="171"/>
      <c r="CN25" s="171"/>
      <c r="CO25" s="171"/>
      <c r="CP25" s="171"/>
      <c r="CQ25" s="171"/>
      <c r="CR25" s="171"/>
      <c r="CS25" s="158"/>
      <c r="CT25" s="189"/>
      <c r="CU25" s="189"/>
      <c r="CV25" s="189"/>
      <c r="CW25" s="189"/>
      <c r="CX25" s="148"/>
      <c r="CY25" s="148"/>
      <c r="CZ25" s="148"/>
      <c r="DA25" s="148"/>
      <c r="DB25" s="148"/>
      <c r="DC25" s="148"/>
      <c r="DD25" s="148"/>
      <c r="DF25">
        <f t="shared" si="9"/>
        <v>0</v>
      </c>
      <c r="DG25">
        <f t="shared" si="10"/>
        <v>4</v>
      </c>
    </row>
    <row r="26" ht="15" spans="1:111">
      <c r="A26" s="137">
        <v>22</v>
      </c>
      <c r="B26" s="138"/>
      <c r="C26" s="139"/>
      <c r="D26" s="139"/>
      <c r="E26" s="139"/>
      <c r="F26" s="139"/>
      <c r="G26" s="139"/>
      <c r="H26" s="148"/>
      <c r="I26" s="158"/>
      <c r="J26" s="159"/>
      <c r="K26" s="159"/>
      <c r="L26" s="159"/>
      <c r="M26" s="159"/>
      <c r="N26" s="159"/>
      <c r="O26" s="159"/>
      <c r="P26" s="159"/>
      <c r="Q26" s="158" t="e">
        <f t="shared" ref="Q26:Q36" si="13">ROUND(AVERAGE(O26:P26),0)</f>
        <v>#DIV/0!</v>
      </c>
      <c r="R26" s="170"/>
      <c r="S26" s="170"/>
      <c r="T26" s="170"/>
      <c r="U26" s="170"/>
      <c r="V26" s="170"/>
      <c r="W26" s="170"/>
      <c r="X26" s="170"/>
      <c r="Y26" s="170"/>
      <c r="Z26" s="170"/>
      <c r="AA26" s="170"/>
      <c r="AB26" s="158"/>
      <c r="AC26" s="195"/>
      <c r="AD26" s="196"/>
      <c r="AE26" s="196"/>
      <c r="AF26" s="196"/>
      <c r="AG26" s="195"/>
      <c r="AH26" s="139"/>
      <c r="AI26" s="148"/>
      <c r="AJ26" s="148"/>
      <c r="AK26" s="148"/>
      <c r="AL26" s="148"/>
      <c r="AM26" s="148"/>
      <c r="AN26" s="148"/>
      <c r="AO26" s="148"/>
      <c r="AP26" s="158"/>
      <c r="AQ26" s="159" t="str">
        <f t="shared" ref="AQ26:AQ37" si="14">IF(AR26&gt;=18,"AD",IF(AR26&gt;=15,"A",IF(AR26&gt;=11,"B"," ")))</f>
        <v> </v>
      </c>
      <c r="AR26" s="159"/>
      <c r="AS26" s="159"/>
      <c r="AT26" s="159"/>
      <c r="AU26" s="159"/>
      <c r="AV26" s="159"/>
      <c r="AW26" s="159"/>
      <c r="AX26" s="159"/>
      <c r="AY26" s="158"/>
      <c r="AZ26" s="171"/>
      <c r="BA26" s="170"/>
      <c r="BB26" s="170"/>
      <c r="BC26" s="170"/>
      <c r="BD26" s="170"/>
      <c r="BE26" s="170"/>
      <c r="BF26" s="170"/>
      <c r="BG26" s="170"/>
      <c r="BH26" s="170"/>
      <c r="BI26" s="158"/>
      <c r="BJ26" s="190" t="str">
        <f t="shared" ref="BJ26:BJ36" si="15">IF(BK26&gt;=18,"AD",IF(BK26&gt;=15,"A",IF(BK26&gt;=11,"B"," ")))</f>
        <v> </v>
      </c>
      <c r="BK26" s="189"/>
      <c r="BL26" s="189"/>
      <c r="BM26" s="189"/>
      <c r="BN26" s="189"/>
      <c r="BO26" s="189"/>
      <c r="BP26" s="189"/>
      <c r="BQ26" s="189"/>
      <c r="BR26" s="158"/>
      <c r="BS26" s="148"/>
      <c r="BT26" s="148"/>
      <c r="BU26" s="148"/>
      <c r="BV26" s="148"/>
      <c r="BW26" s="211"/>
      <c r="BX26" s="159" t="str">
        <f t="shared" si="11"/>
        <v> </v>
      </c>
      <c r="BY26" s="225"/>
      <c r="BZ26" s="225"/>
      <c r="CA26" s="225" t="s">
        <v>231</v>
      </c>
      <c r="CB26" s="225"/>
      <c r="CC26" s="225"/>
      <c r="CD26" s="225"/>
      <c r="CE26" s="225"/>
      <c r="CF26" s="225" t="s">
        <v>231</v>
      </c>
      <c r="CG26" s="225"/>
      <c r="CH26" s="225"/>
      <c r="CI26" s="158"/>
      <c r="CJ26" s="171" t="str">
        <f t="shared" si="12"/>
        <v> </v>
      </c>
      <c r="CK26" s="171"/>
      <c r="CL26" s="171"/>
      <c r="CM26" s="171"/>
      <c r="CN26" s="171"/>
      <c r="CO26" s="171"/>
      <c r="CP26" s="171"/>
      <c r="CQ26" s="171"/>
      <c r="CR26" s="171"/>
      <c r="CS26" s="158"/>
      <c r="CT26" s="189"/>
      <c r="CU26" s="189"/>
      <c r="CV26" s="189"/>
      <c r="CW26" s="195"/>
      <c r="CX26" s="148"/>
      <c r="CY26" s="148"/>
      <c r="CZ26" s="148"/>
      <c r="DA26" s="148"/>
      <c r="DB26" s="148"/>
      <c r="DC26" s="148"/>
      <c r="DD26" s="148"/>
      <c r="DF26">
        <f t="shared" si="9"/>
        <v>0</v>
      </c>
      <c r="DG26">
        <f t="shared" si="10"/>
        <v>4</v>
      </c>
    </row>
    <row r="27" ht="15" spans="1:111">
      <c r="A27" s="137">
        <v>23</v>
      </c>
      <c r="B27" s="138"/>
      <c r="C27" s="148"/>
      <c r="D27" s="139"/>
      <c r="E27" s="139"/>
      <c r="F27" s="139"/>
      <c r="G27" s="148"/>
      <c r="H27" s="148"/>
      <c r="I27" s="158"/>
      <c r="J27" s="159"/>
      <c r="K27" s="159"/>
      <c r="L27" s="159"/>
      <c r="M27" s="159"/>
      <c r="N27" s="159"/>
      <c r="O27" s="159"/>
      <c r="P27" s="159"/>
      <c r="Q27" s="158" t="e">
        <f t="shared" si="13"/>
        <v>#DIV/0!</v>
      </c>
      <c r="R27" s="170"/>
      <c r="S27" s="170"/>
      <c r="T27" s="170"/>
      <c r="U27" s="170"/>
      <c r="V27" s="170"/>
      <c r="W27" s="170"/>
      <c r="X27" s="170"/>
      <c r="Y27" s="170"/>
      <c r="Z27" s="170"/>
      <c r="AA27" s="170"/>
      <c r="AB27" s="158" t="e">
        <f t="shared" ref="AB27:AB36" si="16">ROUND(AVERAGE(X27:AA27),0)</f>
        <v>#DIV/0!</v>
      </c>
      <c r="AC27" s="189"/>
      <c r="AD27" s="190"/>
      <c r="AE27" s="190"/>
      <c r="AF27" s="190"/>
      <c r="AG27" s="189"/>
      <c r="AH27" s="139"/>
      <c r="AI27" s="148"/>
      <c r="AJ27" s="148"/>
      <c r="AK27" s="148"/>
      <c r="AL27" s="148"/>
      <c r="AM27" s="148"/>
      <c r="AN27" s="148"/>
      <c r="AO27" s="148"/>
      <c r="AP27" s="158" t="e">
        <f t="shared" ref="AP27:AP36" si="17">ROUND(AVERAGE(AI27:AO27),0)</f>
        <v>#DIV/0!</v>
      </c>
      <c r="AQ27" s="159" t="str">
        <f t="shared" si="14"/>
        <v> </v>
      </c>
      <c r="AR27" s="159"/>
      <c r="AS27" s="159"/>
      <c r="AT27" s="159"/>
      <c r="AU27" s="159"/>
      <c r="AV27" s="159"/>
      <c r="AW27" s="159"/>
      <c r="AX27" s="159"/>
      <c r="AY27" s="158" t="e">
        <f t="shared" ref="AY27:AY37" si="18">ROUND(AVERAGE(AR27:AX27),0)</f>
        <v>#DIV/0!</v>
      </c>
      <c r="AZ27" s="171" t="str">
        <f t="shared" ref="AZ27:AZ37" si="19">IF(BA27&gt;=18,"AD",IF(BA27&gt;=15,"A",IF(BA27&gt;=11,"B"," ")))</f>
        <v> </v>
      </c>
      <c r="BA27" s="170"/>
      <c r="BB27" s="170"/>
      <c r="BC27" s="170"/>
      <c r="BD27" s="170"/>
      <c r="BE27" s="170"/>
      <c r="BF27" s="170"/>
      <c r="BG27" s="170"/>
      <c r="BH27" s="170"/>
      <c r="BI27" s="158" t="e">
        <f t="shared" ref="BI27:BI36" si="20">ROUND(AVERAGE(BA27:BH27),0)</f>
        <v>#DIV/0!</v>
      </c>
      <c r="BJ27" s="190" t="str">
        <f t="shared" si="15"/>
        <v> </v>
      </c>
      <c r="BK27" s="189"/>
      <c r="BL27" s="189"/>
      <c r="BM27" s="189"/>
      <c r="BN27" s="189"/>
      <c r="BO27" s="189"/>
      <c r="BP27" s="189"/>
      <c r="BQ27" s="189"/>
      <c r="BR27" s="158"/>
      <c r="BS27" s="148"/>
      <c r="BT27" s="148"/>
      <c r="BU27" s="148"/>
      <c r="BV27" s="148"/>
      <c r="BW27" s="211"/>
      <c r="BX27" s="159" t="str">
        <f t="shared" si="11"/>
        <v> </v>
      </c>
      <c r="BY27" s="225"/>
      <c r="BZ27" s="225"/>
      <c r="CA27" s="225" t="s">
        <v>107</v>
      </c>
      <c r="CB27" s="225"/>
      <c r="CC27" s="225"/>
      <c r="CD27" s="225"/>
      <c r="CE27" s="225"/>
      <c r="CF27" s="225"/>
      <c r="CG27" s="225"/>
      <c r="CH27" s="225"/>
      <c r="CI27" s="158" t="e">
        <f t="shared" ref="CI27:CI36" si="21">ROUND(AVERAGE(BY27:CH27),0)</f>
        <v>#DIV/0!</v>
      </c>
      <c r="CJ27" s="171" t="str">
        <f t="shared" si="12"/>
        <v> </v>
      </c>
      <c r="CK27" s="171"/>
      <c r="CL27" s="171"/>
      <c r="CM27" s="171"/>
      <c r="CN27" s="171"/>
      <c r="CO27" s="171"/>
      <c r="CP27" s="171"/>
      <c r="CQ27" s="171"/>
      <c r="CR27" s="171"/>
      <c r="CS27" s="158" t="e">
        <f t="shared" ref="CS27:CS36" si="22">ROUND(AVERAGE(CM27:CR27),0)</f>
        <v>#DIV/0!</v>
      </c>
      <c r="CT27" s="189"/>
      <c r="CU27" s="189"/>
      <c r="CV27" s="189"/>
      <c r="CW27" s="189"/>
      <c r="CX27" s="148"/>
      <c r="CY27" s="148"/>
      <c r="CZ27" s="148"/>
      <c r="DA27" s="148"/>
      <c r="DB27" s="148"/>
      <c r="DC27" s="148"/>
      <c r="DD27" s="148"/>
      <c r="DF27">
        <f t="shared" si="9"/>
        <v>0</v>
      </c>
      <c r="DG27">
        <f t="shared" si="10"/>
        <v>4</v>
      </c>
    </row>
    <row r="28" ht="15" spans="1:111">
      <c r="A28" s="137">
        <v>24</v>
      </c>
      <c r="B28" s="138"/>
      <c r="C28" s="148"/>
      <c r="D28" s="139"/>
      <c r="E28" s="139"/>
      <c r="F28" s="139"/>
      <c r="G28" s="148"/>
      <c r="H28" s="148"/>
      <c r="I28" s="158" t="e">
        <f t="shared" ref="I28:I36" si="23">ROUND(AVERAGE(D28:H28),0)</f>
        <v>#DIV/0!</v>
      </c>
      <c r="J28" s="159"/>
      <c r="K28" s="159"/>
      <c r="L28" s="159"/>
      <c r="M28" s="159"/>
      <c r="N28" s="159"/>
      <c r="O28" s="159"/>
      <c r="P28" s="159"/>
      <c r="Q28" s="158" t="e">
        <f t="shared" si="13"/>
        <v>#DIV/0!</v>
      </c>
      <c r="R28" s="170"/>
      <c r="S28" s="170"/>
      <c r="T28" s="170"/>
      <c r="U28" s="170"/>
      <c r="V28" s="170"/>
      <c r="W28" s="170"/>
      <c r="X28" s="170"/>
      <c r="Y28" s="170"/>
      <c r="Z28" s="170"/>
      <c r="AA28" s="170"/>
      <c r="AB28" s="158" t="e">
        <f t="shared" si="16"/>
        <v>#DIV/0!</v>
      </c>
      <c r="AC28" s="189"/>
      <c r="AD28" s="190"/>
      <c r="AE28" s="190"/>
      <c r="AF28" s="190"/>
      <c r="AG28" s="195"/>
      <c r="AH28" s="139"/>
      <c r="AI28" s="148"/>
      <c r="AJ28" s="148"/>
      <c r="AK28" s="148"/>
      <c r="AL28" s="148"/>
      <c r="AM28" s="148"/>
      <c r="AN28" s="148"/>
      <c r="AO28" s="148"/>
      <c r="AP28" s="158" t="e">
        <f t="shared" si="17"/>
        <v>#DIV/0!</v>
      </c>
      <c r="AQ28" s="159" t="str">
        <f t="shared" si="14"/>
        <v> </v>
      </c>
      <c r="AR28" s="159"/>
      <c r="AS28" s="159"/>
      <c r="AT28" s="159"/>
      <c r="AU28" s="159"/>
      <c r="AV28" s="159"/>
      <c r="AW28" s="159"/>
      <c r="AX28" s="159"/>
      <c r="AY28" s="158" t="e">
        <f t="shared" si="18"/>
        <v>#DIV/0!</v>
      </c>
      <c r="AZ28" s="171" t="str">
        <f t="shared" si="19"/>
        <v> </v>
      </c>
      <c r="BA28" s="170"/>
      <c r="BB28" s="170"/>
      <c r="BC28" s="170"/>
      <c r="BD28" s="170"/>
      <c r="BE28" s="170"/>
      <c r="BF28" s="170"/>
      <c r="BG28" s="170"/>
      <c r="BH28" s="170"/>
      <c r="BI28" s="158" t="e">
        <f t="shared" si="20"/>
        <v>#DIV/0!</v>
      </c>
      <c r="BJ28" s="190" t="str">
        <f t="shared" si="15"/>
        <v> </v>
      </c>
      <c r="BK28" s="189"/>
      <c r="BL28" s="189"/>
      <c r="BM28" s="189"/>
      <c r="BN28" s="189"/>
      <c r="BO28" s="189"/>
      <c r="BP28" s="189"/>
      <c r="BQ28" s="189"/>
      <c r="BR28" s="158" t="e">
        <f t="shared" ref="BR28:BR36" si="24">ROUND(AVERAGE(BK28:BQ28),0)</f>
        <v>#DIV/0!</v>
      </c>
      <c r="BS28" s="148"/>
      <c r="BT28" s="148"/>
      <c r="BU28" s="148"/>
      <c r="BV28" s="148"/>
      <c r="BW28" s="148"/>
      <c r="BX28" s="159" t="str">
        <f t="shared" si="11"/>
        <v> </v>
      </c>
      <c r="BY28" s="225"/>
      <c r="BZ28" s="225"/>
      <c r="CA28" s="225"/>
      <c r="CB28" s="225"/>
      <c r="CC28" s="225"/>
      <c r="CD28" s="225"/>
      <c r="CE28" s="225"/>
      <c r="CF28" s="225"/>
      <c r="CG28" s="225"/>
      <c r="CH28" s="225"/>
      <c r="CI28" s="158" t="e">
        <f t="shared" si="21"/>
        <v>#DIV/0!</v>
      </c>
      <c r="CJ28" s="171" t="str">
        <f t="shared" si="12"/>
        <v> </v>
      </c>
      <c r="CK28" s="171"/>
      <c r="CL28" s="171"/>
      <c r="CM28" s="171"/>
      <c r="CN28" s="171"/>
      <c r="CO28" s="171"/>
      <c r="CP28" s="171"/>
      <c r="CQ28" s="171"/>
      <c r="CR28" s="171"/>
      <c r="CS28" s="158" t="e">
        <f t="shared" si="22"/>
        <v>#DIV/0!</v>
      </c>
      <c r="CT28" s="189"/>
      <c r="CU28" s="189"/>
      <c r="CV28" s="189"/>
      <c r="CW28" s="189"/>
      <c r="CX28" s="148"/>
      <c r="CY28" s="148"/>
      <c r="CZ28" s="148"/>
      <c r="DA28" s="148"/>
      <c r="DB28" s="148"/>
      <c r="DC28" s="148"/>
      <c r="DD28" s="148"/>
      <c r="DF28">
        <f t="shared" si="9"/>
        <v>0</v>
      </c>
      <c r="DG28">
        <f t="shared" si="10"/>
        <v>4</v>
      </c>
    </row>
    <row r="29" ht="15" spans="1:111">
      <c r="A29" s="137">
        <v>25</v>
      </c>
      <c r="B29" s="138"/>
      <c r="C29" s="148"/>
      <c r="D29" s="148"/>
      <c r="E29" s="148"/>
      <c r="F29" s="148"/>
      <c r="G29" s="148"/>
      <c r="H29" s="148"/>
      <c r="I29" s="158" t="e">
        <f t="shared" si="23"/>
        <v>#DIV/0!</v>
      </c>
      <c r="J29" s="159"/>
      <c r="K29" s="159"/>
      <c r="L29" s="159"/>
      <c r="M29" s="159"/>
      <c r="N29" s="159"/>
      <c r="O29" s="159"/>
      <c r="P29" s="159"/>
      <c r="Q29" s="158" t="e">
        <f t="shared" si="13"/>
        <v>#DIV/0!</v>
      </c>
      <c r="R29" s="170"/>
      <c r="S29" s="170"/>
      <c r="T29" s="170"/>
      <c r="U29" s="170"/>
      <c r="V29" s="170"/>
      <c r="W29" s="170"/>
      <c r="X29" s="170"/>
      <c r="Y29" s="170"/>
      <c r="Z29" s="170"/>
      <c r="AA29" s="170"/>
      <c r="AB29" s="158" t="e">
        <f t="shared" si="16"/>
        <v>#DIV/0!</v>
      </c>
      <c r="AC29" s="189"/>
      <c r="AD29" s="190"/>
      <c r="AE29" s="190"/>
      <c r="AF29" s="190"/>
      <c r="AG29" s="189"/>
      <c r="AH29" s="139"/>
      <c r="AI29" s="148"/>
      <c r="AJ29" s="148"/>
      <c r="AK29" s="148"/>
      <c r="AL29" s="148"/>
      <c r="AM29" s="148"/>
      <c r="AN29" s="148"/>
      <c r="AO29" s="148"/>
      <c r="AP29" s="158" t="e">
        <f t="shared" si="17"/>
        <v>#DIV/0!</v>
      </c>
      <c r="AQ29" s="159" t="str">
        <f t="shared" si="14"/>
        <v> </v>
      </c>
      <c r="AR29" s="159"/>
      <c r="AS29" s="159"/>
      <c r="AT29" s="159"/>
      <c r="AU29" s="159"/>
      <c r="AV29" s="159"/>
      <c r="AW29" s="159"/>
      <c r="AX29" s="159"/>
      <c r="AY29" s="158" t="e">
        <f t="shared" si="18"/>
        <v>#DIV/0!</v>
      </c>
      <c r="AZ29" s="171" t="str">
        <f t="shared" si="19"/>
        <v> </v>
      </c>
      <c r="BA29" s="170"/>
      <c r="BB29" s="170"/>
      <c r="BC29" s="170"/>
      <c r="BD29" s="170"/>
      <c r="BE29" s="170"/>
      <c r="BF29" s="170"/>
      <c r="BG29" s="170"/>
      <c r="BH29" s="170"/>
      <c r="BI29" s="158" t="e">
        <f t="shared" si="20"/>
        <v>#DIV/0!</v>
      </c>
      <c r="BJ29" s="190" t="str">
        <f t="shared" si="15"/>
        <v> </v>
      </c>
      <c r="BK29" s="189"/>
      <c r="BL29" s="189"/>
      <c r="BM29" s="189"/>
      <c r="BN29" s="189"/>
      <c r="BO29" s="189"/>
      <c r="BP29" s="189"/>
      <c r="BQ29" s="189"/>
      <c r="BR29" s="158" t="e">
        <f t="shared" si="24"/>
        <v>#DIV/0!</v>
      </c>
      <c r="BS29" s="148"/>
      <c r="BT29" s="148"/>
      <c r="BU29" s="148"/>
      <c r="BV29" s="148"/>
      <c r="BW29" s="211"/>
      <c r="BX29" s="159" t="str">
        <f t="shared" si="11"/>
        <v> </v>
      </c>
      <c r="BY29" s="225"/>
      <c r="BZ29" s="225"/>
      <c r="CA29" s="225"/>
      <c r="CB29" s="225"/>
      <c r="CC29" s="225"/>
      <c r="CD29" s="225"/>
      <c r="CE29" s="225"/>
      <c r="CF29" s="225"/>
      <c r="CG29" s="225"/>
      <c r="CH29" s="225"/>
      <c r="CI29" s="158" t="e">
        <f t="shared" si="21"/>
        <v>#DIV/0!</v>
      </c>
      <c r="CJ29" s="171" t="str">
        <f t="shared" si="12"/>
        <v> </v>
      </c>
      <c r="CK29" s="171"/>
      <c r="CL29" s="171"/>
      <c r="CM29" s="171"/>
      <c r="CN29" s="171"/>
      <c r="CO29" s="171"/>
      <c r="CP29" s="171"/>
      <c r="CQ29" s="171"/>
      <c r="CR29" s="171"/>
      <c r="CS29" s="158" t="e">
        <f t="shared" si="22"/>
        <v>#DIV/0!</v>
      </c>
      <c r="CT29" s="197"/>
      <c r="CU29" s="197"/>
      <c r="CV29" s="197"/>
      <c r="CW29" s="197"/>
      <c r="CX29" s="148"/>
      <c r="CY29" s="148"/>
      <c r="CZ29" s="148"/>
      <c r="DA29" s="148"/>
      <c r="DB29" s="159"/>
      <c r="DC29" s="159"/>
      <c r="DD29" s="159"/>
      <c r="DF29">
        <f t="shared" si="9"/>
        <v>0</v>
      </c>
      <c r="DG29">
        <f t="shared" si="10"/>
        <v>4</v>
      </c>
    </row>
    <row r="30" ht="15" spans="1:111">
      <c r="A30" s="137">
        <v>26</v>
      </c>
      <c r="B30" s="138"/>
      <c r="C30" s="148"/>
      <c r="D30" s="148"/>
      <c r="E30" s="148"/>
      <c r="F30" s="148"/>
      <c r="G30" s="148"/>
      <c r="H30" s="148"/>
      <c r="I30" s="158" t="e">
        <f t="shared" si="23"/>
        <v>#DIV/0!</v>
      </c>
      <c r="J30" s="159"/>
      <c r="K30" s="159"/>
      <c r="L30" s="159"/>
      <c r="M30" s="159"/>
      <c r="N30" s="159"/>
      <c r="O30" s="159"/>
      <c r="P30" s="159"/>
      <c r="Q30" s="158" t="e">
        <f t="shared" si="13"/>
        <v>#DIV/0!</v>
      </c>
      <c r="R30" s="170"/>
      <c r="S30" s="170"/>
      <c r="T30" s="170"/>
      <c r="U30" s="170"/>
      <c r="V30" s="170"/>
      <c r="W30" s="170"/>
      <c r="X30" s="170"/>
      <c r="Y30" s="170"/>
      <c r="Z30" s="170"/>
      <c r="AA30" s="170"/>
      <c r="AB30" s="158" t="e">
        <f t="shared" si="16"/>
        <v>#DIV/0!</v>
      </c>
      <c r="AC30" s="189"/>
      <c r="AD30" s="190"/>
      <c r="AE30" s="190"/>
      <c r="AF30" s="190"/>
      <c r="AG30" s="189"/>
      <c r="AH30" s="139"/>
      <c r="AI30" s="148"/>
      <c r="AJ30" s="148"/>
      <c r="AK30" s="148"/>
      <c r="AL30" s="148"/>
      <c r="AM30" s="148"/>
      <c r="AN30" s="148"/>
      <c r="AO30" s="148"/>
      <c r="AP30" s="158" t="e">
        <f t="shared" si="17"/>
        <v>#DIV/0!</v>
      </c>
      <c r="AQ30" s="159" t="str">
        <f t="shared" si="14"/>
        <v> </v>
      </c>
      <c r="AR30" s="159"/>
      <c r="AS30" s="159"/>
      <c r="AT30" s="159"/>
      <c r="AU30" s="159"/>
      <c r="AV30" s="159"/>
      <c r="AW30" s="159"/>
      <c r="AX30" s="159"/>
      <c r="AY30" s="158" t="e">
        <f t="shared" si="18"/>
        <v>#DIV/0!</v>
      </c>
      <c r="AZ30" s="171" t="str">
        <f t="shared" si="19"/>
        <v> </v>
      </c>
      <c r="BA30" s="170"/>
      <c r="BB30" s="170"/>
      <c r="BC30" s="170"/>
      <c r="BD30" s="170"/>
      <c r="BE30" s="170"/>
      <c r="BF30" s="170"/>
      <c r="BG30" s="170"/>
      <c r="BH30" s="170"/>
      <c r="BI30" s="158" t="e">
        <f t="shared" si="20"/>
        <v>#DIV/0!</v>
      </c>
      <c r="BJ30" s="190" t="str">
        <f t="shared" si="15"/>
        <v> </v>
      </c>
      <c r="BK30" s="189"/>
      <c r="BL30" s="189"/>
      <c r="BM30" s="189"/>
      <c r="BN30" s="189"/>
      <c r="BO30" s="189"/>
      <c r="BP30" s="189"/>
      <c r="BQ30" s="189"/>
      <c r="BR30" s="158" t="e">
        <f t="shared" si="24"/>
        <v>#DIV/0!</v>
      </c>
      <c r="BS30" s="148"/>
      <c r="BT30" s="148"/>
      <c r="BU30" s="148"/>
      <c r="BV30" s="148"/>
      <c r="BW30" s="211"/>
      <c r="BX30" s="159" t="str">
        <f t="shared" si="11"/>
        <v> </v>
      </c>
      <c r="BY30" s="225"/>
      <c r="BZ30" s="225"/>
      <c r="CA30" s="225"/>
      <c r="CB30" s="225"/>
      <c r="CC30" s="225"/>
      <c r="CD30" s="225"/>
      <c r="CE30" s="225"/>
      <c r="CF30" s="225"/>
      <c r="CG30" s="225"/>
      <c r="CH30" s="225"/>
      <c r="CI30" s="158" t="e">
        <f t="shared" si="21"/>
        <v>#DIV/0!</v>
      </c>
      <c r="CJ30" s="171" t="str">
        <f t="shared" si="12"/>
        <v> </v>
      </c>
      <c r="CK30" s="171"/>
      <c r="CL30" s="171"/>
      <c r="CM30" s="171"/>
      <c r="CN30" s="171"/>
      <c r="CO30" s="171"/>
      <c r="CP30" s="171"/>
      <c r="CQ30" s="171"/>
      <c r="CR30" s="171"/>
      <c r="CS30" s="158" t="e">
        <f t="shared" si="22"/>
        <v>#DIV/0!</v>
      </c>
      <c r="CT30" s="189"/>
      <c r="CU30" s="189"/>
      <c r="CV30" s="189"/>
      <c r="CW30" s="189"/>
      <c r="CX30" s="211"/>
      <c r="CY30" s="148"/>
      <c r="CZ30" s="148"/>
      <c r="DA30" s="211"/>
      <c r="DB30" s="159"/>
      <c r="DC30" s="159"/>
      <c r="DD30" s="159"/>
      <c r="DF30">
        <f t="shared" si="9"/>
        <v>0</v>
      </c>
      <c r="DG30">
        <f t="shared" si="10"/>
        <v>4</v>
      </c>
    </row>
    <row r="31" ht="15" spans="1:111">
      <c r="A31" s="137">
        <v>27</v>
      </c>
      <c r="B31" s="138"/>
      <c r="C31" s="148"/>
      <c r="D31" s="148"/>
      <c r="E31" s="148"/>
      <c r="F31" s="148"/>
      <c r="G31" s="148"/>
      <c r="H31" s="148"/>
      <c r="I31" s="158" t="e">
        <f t="shared" si="23"/>
        <v>#DIV/0!</v>
      </c>
      <c r="J31" s="159"/>
      <c r="K31" s="159"/>
      <c r="L31" s="159"/>
      <c r="M31" s="159"/>
      <c r="N31" s="159"/>
      <c r="O31" s="159"/>
      <c r="P31" s="159"/>
      <c r="Q31" s="158" t="e">
        <f t="shared" si="13"/>
        <v>#DIV/0!</v>
      </c>
      <c r="R31" s="170"/>
      <c r="S31" s="170"/>
      <c r="T31" s="170"/>
      <c r="U31" s="170"/>
      <c r="V31" s="170"/>
      <c r="W31" s="170"/>
      <c r="X31" s="170"/>
      <c r="Y31" s="170"/>
      <c r="Z31" s="170"/>
      <c r="AA31" s="170"/>
      <c r="AB31" s="158" t="e">
        <f t="shared" si="16"/>
        <v>#DIV/0!</v>
      </c>
      <c r="AC31" s="197"/>
      <c r="AD31" s="198"/>
      <c r="AE31" s="198"/>
      <c r="AF31" s="198"/>
      <c r="AG31" s="197"/>
      <c r="AH31" s="139"/>
      <c r="AI31" s="148"/>
      <c r="AJ31" s="148"/>
      <c r="AK31" s="148"/>
      <c r="AL31" s="148"/>
      <c r="AM31" s="148"/>
      <c r="AN31" s="148"/>
      <c r="AO31" s="148"/>
      <c r="AP31" s="158" t="e">
        <f t="shared" si="17"/>
        <v>#DIV/0!</v>
      </c>
      <c r="AQ31" s="159" t="str">
        <f t="shared" si="14"/>
        <v> </v>
      </c>
      <c r="AR31" s="159"/>
      <c r="AS31" s="159"/>
      <c r="AT31" s="159"/>
      <c r="AU31" s="159"/>
      <c r="AV31" s="159"/>
      <c r="AW31" s="159"/>
      <c r="AX31" s="159"/>
      <c r="AY31" s="158" t="e">
        <f t="shared" si="18"/>
        <v>#DIV/0!</v>
      </c>
      <c r="AZ31" s="171" t="str">
        <f t="shared" si="19"/>
        <v> </v>
      </c>
      <c r="BA31" s="170"/>
      <c r="BB31" s="170"/>
      <c r="BC31" s="170"/>
      <c r="BD31" s="170"/>
      <c r="BE31" s="170"/>
      <c r="BF31" s="170"/>
      <c r="BG31" s="170"/>
      <c r="BH31" s="170"/>
      <c r="BI31" s="158" t="e">
        <f t="shared" si="20"/>
        <v>#DIV/0!</v>
      </c>
      <c r="BJ31" s="190" t="str">
        <f t="shared" si="15"/>
        <v> </v>
      </c>
      <c r="BK31" s="189"/>
      <c r="BL31" s="189"/>
      <c r="BM31" s="189"/>
      <c r="BN31" s="189"/>
      <c r="BO31" s="189"/>
      <c r="BP31" s="189"/>
      <c r="BQ31" s="189"/>
      <c r="BR31" s="158" t="e">
        <f t="shared" si="24"/>
        <v>#DIV/0!</v>
      </c>
      <c r="BS31" s="148"/>
      <c r="BT31" s="148"/>
      <c r="BU31" s="148"/>
      <c r="BV31" s="148"/>
      <c r="BW31" s="148"/>
      <c r="BX31" s="159" t="str">
        <f t="shared" si="11"/>
        <v> </v>
      </c>
      <c r="BY31" s="225"/>
      <c r="BZ31" s="225"/>
      <c r="CA31" s="225"/>
      <c r="CB31" s="225"/>
      <c r="CC31" s="225"/>
      <c r="CD31" s="225"/>
      <c r="CE31" s="225"/>
      <c r="CF31" s="225"/>
      <c r="CG31" s="225"/>
      <c r="CH31" s="225"/>
      <c r="CI31" s="158" t="e">
        <f t="shared" si="21"/>
        <v>#DIV/0!</v>
      </c>
      <c r="CJ31" s="171" t="str">
        <f t="shared" si="12"/>
        <v> </v>
      </c>
      <c r="CK31" s="171"/>
      <c r="CL31" s="171"/>
      <c r="CM31" s="171"/>
      <c r="CN31" s="171"/>
      <c r="CO31" s="171"/>
      <c r="CP31" s="171"/>
      <c r="CQ31" s="171"/>
      <c r="CR31" s="171"/>
      <c r="CS31" s="158" t="e">
        <f t="shared" si="22"/>
        <v>#DIV/0!</v>
      </c>
      <c r="CT31" s="189"/>
      <c r="CU31" s="189"/>
      <c r="CV31" s="189"/>
      <c r="CW31" s="189"/>
      <c r="CX31" s="148"/>
      <c r="CY31" s="148"/>
      <c r="CZ31" s="148"/>
      <c r="DA31" s="148"/>
      <c r="DB31" s="159"/>
      <c r="DC31" s="159"/>
      <c r="DD31" s="159"/>
      <c r="DF31">
        <f t="shared" si="9"/>
        <v>0</v>
      </c>
      <c r="DG31">
        <f t="shared" si="10"/>
        <v>4</v>
      </c>
    </row>
    <row r="32" ht="15" spans="1:111">
      <c r="A32" s="137">
        <v>28</v>
      </c>
      <c r="B32" s="138"/>
      <c r="C32" s="148"/>
      <c r="D32" s="148"/>
      <c r="E32" s="148"/>
      <c r="F32" s="148"/>
      <c r="G32" s="148"/>
      <c r="H32" s="148"/>
      <c r="I32" s="158" t="e">
        <f t="shared" si="23"/>
        <v>#DIV/0!</v>
      </c>
      <c r="J32" s="159"/>
      <c r="K32" s="159"/>
      <c r="L32" s="159"/>
      <c r="M32" s="159"/>
      <c r="N32" s="159"/>
      <c r="O32" s="159"/>
      <c r="P32" s="159"/>
      <c r="Q32" s="158" t="e">
        <f t="shared" si="13"/>
        <v>#DIV/0!</v>
      </c>
      <c r="R32" s="170"/>
      <c r="S32" s="170"/>
      <c r="T32" s="170"/>
      <c r="U32" s="170"/>
      <c r="V32" s="170"/>
      <c r="W32" s="170"/>
      <c r="X32" s="170"/>
      <c r="Y32" s="170"/>
      <c r="Z32" s="170"/>
      <c r="AA32" s="170"/>
      <c r="AB32" s="158" t="e">
        <f t="shared" si="16"/>
        <v>#DIV/0!</v>
      </c>
      <c r="AC32" s="189"/>
      <c r="AD32" s="190"/>
      <c r="AE32" s="190"/>
      <c r="AF32" s="190"/>
      <c r="AG32" s="189"/>
      <c r="AH32" s="139"/>
      <c r="AI32" s="148"/>
      <c r="AJ32" s="148"/>
      <c r="AK32" s="148"/>
      <c r="AL32" s="148"/>
      <c r="AM32" s="148"/>
      <c r="AN32" s="148"/>
      <c r="AO32" s="148"/>
      <c r="AP32" s="158" t="e">
        <f t="shared" si="17"/>
        <v>#DIV/0!</v>
      </c>
      <c r="AQ32" s="159" t="str">
        <f t="shared" si="14"/>
        <v> </v>
      </c>
      <c r="AR32" s="159"/>
      <c r="AS32" s="159"/>
      <c r="AT32" s="159"/>
      <c r="AU32" s="159"/>
      <c r="AV32" s="159"/>
      <c r="AW32" s="159"/>
      <c r="AX32" s="159"/>
      <c r="AY32" s="158" t="e">
        <f t="shared" si="18"/>
        <v>#DIV/0!</v>
      </c>
      <c r="AZ32" s="171" t="str">
        <f t="shared" si="19"/>
        <v> </v>
      </c>
      <c r="BA32" s="170"/>
      <c r="BB32" s="170"/>
      <c r="BC32" s="170"/>
      <c r="BD32" s="170"/>
      <c r="BE32" s="170"/>
      <c r="BF32" s="170"/>
      <c r="BG32" s="170"/>
      <c r="BH32" s="170"/>
      <c r="BI32" s="158" t="e">
        <f t="shared" si="20"/>
        <v>#DIV/0!</v>
      </c>
      <c r="BJ32" s="190" t="str">
        <f t="shared" si="15"/>
        <v> </v>
      </c>
      <c r="BK32" s="189"/>
      <c r="BL32" s="189"/>
      <c r="BM32" s="189"/>
      <c r="BN32" s="189"/>
      <c r="BO32" s="189"/>
      <c r="BP32" s="189"/>
      <c r="BQ32" s="189"/>
      <c r="BR32" s="158" t="e">
        <f t="shared" si="24"/>
        <v>#DIV/0!</v>
      </c>
      <c r="BS32" s="211"/>
      <c r="BT32" s="148"/>
      <c r="BU32" s="148"/>
      <c r="BV32" s="148"/>
      <c r="BW32" s="211"/>
      <c r="BX32" s="159" t="str">
        <f t="shared" si="11"/>
        <v> </v>
      </c>
      <c r="BY32" s="225"/>
      <c r="BZ32" s="225"/>
      <c r="CA32" s="225"/>
      <c r="CB32" s="225"/>
      <c r="CC32" s="225"/>
      <c r="CD32" s="225"/>
      <c r="CE32" s="225"/>
      <c r="CF32" s="225"/>
      <c r="CG32" s="225"/>
      <c r="CH32" s="225"/>
      <c r="CI32" s="158" t="e">
        <f t="shared" si="21"/>
        <v>#DIV/0!</v>
      </c>
      <c r="CJ32" s="171" t="str">
        <f t="shared" si="12"/>
        <v> </v>
      </c>
      <c r="CK32" s="171"/>
      <c r="CL32" s="171"/>
      <c r="CM32" s="171"/>
      <c r="CN32" s="171"/>
      <c r="CO32" s="171"/>
      <c r="CP32" s="171"/>
      <c r="CQ32" s="171"/>
      <c r="CR32" s="171"/>
      <c r="CS32" s="158" t="e">
        <f t="shared" si="22"/>
        <v>#DIV/0!</v>
      </c>
      <c r="CT32" s="189"/>
      <c r="CU32" s="189"/>
      <c r="CV32" s="189"/>
      <c r="CW32" s="189"/>
      <c r="CX32" s="148"/>
      <c r="CY32" s="148"/>
      <c r="CZ32" s="148"/>
      <c r="DA32" s="211"/>
      <c r="DB32" s="159"/>
      <c r="DC32" s="159"/>
      <c r="DD32" s="159"/>
      <c r="DF32">
        <f t="shared" si="9"/>
        <v>0</v>
      </c>
      <c r="DG32">
        <f t="shared" si="10"/>
        <v>4</v>
      </c>
    </row>
    <row r="33" ht="15" spans="1:111">
      <c r="A33" s="137">
        <v>29</v>
      </c>
      <c r="B33" s="138"/>
      <c r="C33" s="148"/>
      <c r="D33" s="148"/>
      <c r="E33" s="148"/>
      <c r="F33" s="148"/>
      <c r="G33" s="148"/>
      <c r="H33" s="148"/>
      <c r="I33" s="158" t="e">
        <f t="shared" si="23"/>
        <v>#DIV/0!</v>
      </c>
      <c r="J33" s="159"/>
      <c r="K33" s="159"/>
      <c r="L33" s="159"/>
      <c r="M33" s="159"/>
      <c r="N33" s="159"/>
      <c r="O33" s="159"/>
      <c r="P33" s="159"/>
      <c r="Q33" s="158" t="e">
        <f t="shared" si="13"/>
        <v>#DIV/0!</v>
      </c>
      <c r="R33" s="170"/>
      <c r="S33" s="170"/>
      <c r="T33" s="170"/>
      <c r="U33" s="170"/>
      <c r="V33" s="170"/>
      <c r="W33" s="170"/>
      <c r="X33" s="170"/>
      <c r="Y33" s="170"/>
      <c r="Z33" s="170"/>
      <c r="AA33" s="170"/>
      <c r="AB33" s="158" t="e">
        <f t="shared" si="16"/>
        <v>#DIV/0!</v>
      </c>
      <c r="AC33" s="189"/>
      <c r="AD33" s="190"/>
      <c r="AE33" s="190"/>
      <c r="AF33" s="190"/>
      <c r="AG33" s="189"/>
      <c r="AH33" s="139"/>
      <c r="AI33" s="148"/>
      <c r="AJ33" s="148"/>
      <c r="AK33" s="148"/>
      <c r="AL33" s="148"/>
      <c r="AM33" s="148"/>
      <c r="AN33" s="148"/>
      <c r="AO33" s="148"/>
      <c r="AP33" s="158" t="e">
        <f t="shared" si="17"/>
        <v>#DIV/0!</v>
      </c>
      <c r="AQ33" s="159" t="str">
        <f t="shared" si="14"/>
        <v> </v>
      </c>
      <c r="AR33" s="159"/>
      <c r="AS33" s="159"/>
      <c r="AT33" s="159"/>
      <c r="AU33" s="159"/>
      <c r="AV33" s="159"/>
      <c r="AW33" s="159"/>
      <c r="AX33" s="159"/>
      <c r="AY33" s="158" t="e">
        <f t="shared" si="18"/>
        <v>#DIV/0!</v>
      </c>
      <c r="AZ33" s="171" t="str">
        <f t="shared" si="19"/>
        <v> </v>
      </c>
      <c r="BA33" s="170"/>
      <c r="BB33" s="170"/>
      <c r="BC33" s="170"/>
      <c r="BD33" s="170"/>
      <c r="BE33" s="170"/>
      <c r="BF33" s="170"/>
      <c r="BG33" s="170"/>
      <c r="BH33" s="170"/>
      <c r="BI33" s="158" t="e">
        <f t="shared" si="20"/>
        <v>#DIV/0!</v>
      </c>
      <c r="BJ33" s="190" t="str">
        <f t="shared" si="15"/>
        <v> </v>
      </c>
      <c r="BK33" s="189"/>
      <c r="BL33" s="189"/>
      <c r="BM33" s="189"/>
      <c r="BN33" s="189"/>
      <c r="BO33" s="189"/>
      <c r="BP33" s="189"/>
      <c r="BQ33" s="189"/>
      <c r="BR33" s="158" t="e">
        <f t="shared" si="24"/>
        <v>#DIV/0!</v>
      </c>
      <c r="BS33" s="148"/>
      <c r="BT33" s="148"/>
      <c r="BU33" s="148"/>
      <c r="BV33" s="148"/>
      <c r="BW33" s="148"/>
      <c r="BX33" s="159" t="str">
        <f t="shared" si="11"/>
        <v> </v>
      </c>
      <c r="BY33" s="225"/>
      <c r="BZ33" s="225"/>
      <c r="CA33" s="225"/>
      <c r="CB33" s="225"/>
      <c r="CC33" s="225"/>
      <c r="CD33" s="225"/>
      <c r="CE33" s="225"/>
      <c r="CF33" s="225"/>
      <c r="CG33" s="225"/>
      <c r="CH33" s="225"/>
      <c r="CI33" s="158" t="e">
        <f t="shared" si="21"/>
        <v>#DIV/0!</v>
      </c>
      <c r="CJ33" s="171" t="str">
        <f t="shared" si="12"/>
        <v> </v>
      </c>
      <c r="CK33" s="171"/>
      <c r="CL33" s="171"/>
      <c r="CM33" s="171"/>
      <c r="CN33" s="171"/>
      <c r="CO33" s="171"/>
      <c r="CP33" s="171"/>
      <c r="CQ33" s="171"/>
      <c r="CR33" s="171"/>
      <c r="CS33" s="158" t="e">
        <f t="shared" si="22"/>
        <v>#DIV/0!</v>
      </c>
      <c r="CT33" s="189"/>
      <c r="CU33" s="189"/>
      <c r="CV33" s="189"/>
      <c r="CW33" s="189"/>
      <c r="CX33" s="148"/>
      <c r="CY33" s="148"/>
      <c r="CZ33" s="148"/>
      <c r="DA33" s="148"/>
      <c r="DB33" s="159"/>
      <c r="DC33" s="159"/>
      <c r="DD33" s="159"/>
      <c r="DF33">
        <f t="shared" si="9"/>
        <v>0</v>
      </c>
      <c r="DG33">
        <f t="shared" si="10"/>
        <v>4</v>
      </c>
    </row>
    <row r="34" ht="15" spans="1:110">
      <c r="A34" s="137">
        <v>30</v>
      </c>
      <c r="B34" s="138"/>
      <c r="C34" s="148"/>
      <c r="D34" s="148"/>
      <c r="E34" s="148"/>
      <c r="F34" s="148"/>
      <c r="G34" s="148"/>
      <c r="H34" s="148"/>
      <c r="I34" s="158" t="e">
        <f t="shared" si="23"/>
        <v>#DIV/0!</v>
      </c>
      <c r="J34" s="159"/>
      <c r="K34" s="159"/>
      <c r="L34" s="159"/>
      <c r="M34" s="159"/>
      <c r="N34" s="159"/>
      <c r="O34" s="159"/>
      <c r="P34" s="159"/>
      <c r="Q34" s="158" t="e">
        <f t="shared" si="13"/>
        <v>#DIV/0!</v>
      </c>
      <c r="R34" s="170"/>
      <c r="S34" s="170"/>
      <c r="T34" s="170"/>
      <c r="U34" s="170"/>
      <c r="V34" s="170"/>
      <c r="W34" s="170"/>
      <c r="X34" s="170"/>
      <c r="Y34" s="170"/>
      <c r="Z34" s="170"/>
      <c r="AA34" s="170"/>
      <c r="AB34" s="158" t="e">
        <f t="shared" si="16"/>
        <v>#DIV/0!</v>
      </c>
      <c r="AC34" s="189"/>
      <c r="AD34" s="190"/>
      <c r="AE34" s="190"/>
      <c r="AF34" s="190"/>
      <c r="AG34" s="189"/>
      <c r="AH34" s="139"/>
      <c r="AI34" s="148"/>
      <c r="AJ34" s="148"/>
      <c r="AK34" s="148"/>
      <c r="AL34" s="148"/>
      <c r="AM34" s="148"/>
      <c r="AN34" s="148"/>
      <c r="AO34" s="148"/>
      <c r="AP34" s="158" t="e">
        <f t="shared" si="17"/>
        <v>#DIV/0!</v>
      </c>
      <c r="AQ34" s="159" t="str">
        <f t="shared" si="14"/>
        <v> </v>
      </c>
      <c r="AR34" s="159"/>
      <c r="AS34" s="159"/>
      <c r="AT34" s="159"/>
      <c r="AU34" s="159"/>
      <c r="AV34" s="159"/>
      <c r="AW34" s="159"/>
      <c r="AX34" s="159"/>
      <c r="AY34" s="158" t="e">
        <f t="shared" si="18"/>
        <v>#DIV/0!</v>
      </c>
      <c r="AZ34" s="171" t="str">
        <f t="shared" si="19"/>
        <v> </v>
      </c>
      <c r="BA34" s="170"/>
      <c r="BB34" s="170"/>
      <c r="BC34" s="170"/>
      <c r="BD34" s="170"/>
      <c r="BE34" s="170"/>
      <c r="BF34" s="170"/>
      <c r="BG34" s="170"/>
      <c r="BH34" s="170"/>
      <c r="BI34" s="158" t="e">
        <f t="shared" si="20"/>
        <v>#DIV/0!</v>
      </c>
      <c r="BJ34" s="190" t="str">
        <f t="shared" si="15"/>
        <v> </v>
      </c>
      <c r="BK34" s="189"/>
      <c r="BL34" s="189"/>
      <c r="BM34" s="189"/>
      <c r="BN34" s="189"/>
      <c r="BO34" s="189"/>
      <c r="BP34" s="189"/>
      <c r="BQ34" s="189"/>
      <c r="BR34" s="158" t="e">
        <f t="shared" si="24"/>
        <v>#DIV/0!</v>
      </c>
      <c r="BS34" s="148"/>
      <c r="BT34" s="148"/>
      <c r="BU34" s="148"/>
      <c r="BV34" s="148"/>
      <c r="BW34" s="211"/>
      <c r="BX34" s="159" t="str">
        <f t="shared" si="11"/>
        <v> </v>
      </c>
      <c r="BY34" s="225"/>
      <c r="BZ34" s="225"/>
      <c r="CA34" s="225"/>
      <c r="CB34" s="225"/>
      <c r="CC34" s="225"/>
      <c r="CD34" s="225"/>
      <c r="CE34" s="225"/>
      <c r="CF34" s="225"/>
      <c r="CG34" s="225"/>
      <c r="CH34" s="225"/>
      <c r="CI34" s="158" t="e">
        <f t="shared" si="21"/>
        <v>#DIV/0!</v>
      </c>
      <c r="CJ34" s="171" t="str">
        <f t="shared" si="12"/>
        <v> </v>
      </c>
      <c r="CK34" s="171"/>
      <c r="CL34" s="171"/>
      <c r="CM34" s="171"/>
      <c r="CN34" s="171"/>
      <c r="CO34" s="171"/>
      <c r="CP34" s="171"/>
      <c r="CQ34" s="171"/>
      <c r="CR34" s="171"/>
      <c r="CS34" s="158" t="e">
        <f t="shared" si="22"/>
        <v>#DIV/0!</v>
      </c>
      <c r="CT34" s="235"/>
      <c r="CU34" s="235"/>
      <c r="CV34" s="235"/>
      <c r="CW34" s="235"/>
      <c r="CX34" s="227"/>
      <c r="CY34" s="227"/>
      <c r="CZ34" s="227"/>
      <c r="DA34" s="227"/>
      <c r="DB34" s="228"/>
      <c r="DC34" s="228"/>
      <c r="DD34" s="228"/>
      <c r="DF34">
        <f t="shared" si="9"/>
        <v>0</v>
      </c>
    </row>
    <row r="35" spans="1:108">
      <c r="A35" s="137">
        <v>31</v>
      </c>
      <c r="B35" s="138"/>
      <c r="C35" s="148"/>
      <c r="D35" s="148"/>
      <c r="E35" s="148"/>
      <c r="F35" s="148"/>
      <c r="G35" s="148"/>
      <c r="H35" s="148"/>
      <c r="I35" s="158" t="e">
        <f t="shared" si="23"/>
        <v>#DIV/0!</v>
      </c>
      <c r="J35" s="159"/>
      <c r="K35" s="159"/>
      <c r="L35" s="159"/>
      <c r="M35" s="159"/>
      <c r="N35" s="159"/>
      <c r="O35" s="159"/>
      <c r="P35" s="159"/>
      <c r="Q35" s="158" t="e">
        <f t="shared" si="13"/>
        <v>#DIV/0!</v>
      </c>
      <c r="R35" s="170"/>
      <c r="S35" s="170"/>
      <c r="T35" s="170"/>
      <c r="U35" s="170"/>
      <c r="V35" s="170"/>
      <c r="W35" s="170"/>
      <c r="X35" s="170"/>
      <c r="Y35" s="170"/>
      <c r="Z35" s="170"/>
      <c r="AA35" s="170"/>
      <c r="AB35" s="158" t="e">
        <f t="shared" si="16"/>
        <v>#DIV/0!</v>
      </c>
      <c r="AC35" s="189"/>
      <c r="AD35" s="190"/>
      <c r="AE35" s="190"/>
      <c r="AF35" s="190"/>
      <c r="AG35" s="189"/>
      <c r="AH35" s="139"/>
      <c r="AI35" s="148"/>
      <c r="AJ35" s="148"/>
      <c r="AK35" s="148"/>
      <c r="AL35" s="148"/>
      <c r="AM35" s="148"/>
      <c r="AN35" s="148"/>
      <c r="AO35" s="148"/>
      <c r="AP35" s="158" t="e">
        <f t="shared" si="17"/>
        <v>#DIV/0!</v>
      </c>
      <c r="AQ35" s="159" t="str">
        <f t="shared" si="14"/>
        <v> </v>
      </c>
      <c r="AR35" s="159"/>
      <c r="AS35" s="159"/>
      <c r="AT35" s="159"/>
      <c r="AU35" s="159"/>
      <c r="AV35" s="159"/>
      <c r="AW35" s="159"/>
      <c r="AX35" s="159"/>
      <c r="AY35" s="158" t="e">
        <f t="shared" si="18"/>
        <v>#DIV/0!</v>
      </c>
      <c r="AZ35" s="171" t="str">
        <f t="shared" si="19"/>
        <v> </v>
      </c>
      <c r="BA35" s="170"/>
      <c r="BB35" s="170"/>
      <c r="BC35" s="170"/>
      <c r="BD35" s="170"/>
      <c r="BE35" s="170"/>
      <c r="BF35" s="170"/>
      <c r="BG35" s="170"/>
      <c r="BH35" s="170"/>
      <c r="BI35" s="158" t="e">
        <f t="shared" si="20"/>
        <v>#DIV/0!</v>
      </c>
      <c r="BJ35" s="190" t="str">
        <f t="shared" si="15"/>
        <v> </v>
      </c>
      <c r="BK35" s="189"/>
      <c r="BL35" s="189"/>
      <c r="BM35" s="189"/>
      <c r="BN35" s="189"/>
      <c r="BO35" s="189"/>
      <c r="BP35" s="189"/>
      <c r="BQ35" s="189"/>
      <c r="BR35" s="158" t="e">
        <f t="shared" si="24"/>
        <v>#DIV/0!</v>
      </c>
      <c r="BS35" s="148"/>
      <c r="BT35" s="148"/>
      <c r="BU35" s="148"/>
      <c r="BV35" s="148"/>
      <c r="BW35" s="148"/>
      <c r="BX35" s="159" t="str">
        <f t="shared" si="11"/>
        <v> </v>
      </c>
      <c r="BY35" s="225"/>
      <c r="BZ35" s="225"/>
      <c r="CA35" s="225"/>
      <c r="CB35" s="225"/>
      <c r="CC35" s="225"/>
      <c r="CD35" s="225"/>
      <c r="CE35" s="225"/>
      <c r="CF35" s="225"/>
      <c r="CG35" s="225"/>
      <c r="CH35" s="225"/>
      <c r="CI35" s="158" t="e">
        <f t="shared" si="21"/>
        <v>#DIV/0!</v>
      </c>
      <c r="CJ35" s="171" t="str">
        <f t="shared" si="12"/>
        <v> </v>
      </c>
      <c r="CK35" s="171"/>
      <c r="CL35" s="171"/>
      <c r="CM35" s="171"/>
      <c r="CN35" s="171"/>
      <c r="CO35" s="171"/>
      <c r="CP35" s="171"/>
      <c r="CQ35" s="171"/>
      <c r="CR35" s="171"/>
      <c r="CS35" s="158" t="e">
        <f t="shared" si="22"/>
        <v>#DIV/0!</v>
      </c>
      <c r="CT35" s="195"/>
      <c r="CU35" s="189"/>
      <c r="CV35" s="189"/>
      <c r="CW35" s="195"/>
      <c r="CX35" s="148"/>
      <c r="CY35" s="148"/>
      <c r="CZ35" s="148"/>
      <c r="DA35" s="148"/>
      <c r="DB35" s="159"/>
      <c r="DC35" s="159"/>
      <c r="DD35" s="159"/>
    </row>
    <row r="36" spans="1:108">
      <c r="A36" s="137">
        <v>32</v>
      </c>
      <c r="B36" s="138">
        <f>'RELACION ESTUDIANTES - 2022'!B37</f>
        <v>0</v>
      </c>
      <c r="C36" s="148"/>
      <c r="D36" s="148"/>
      <c r="E36" s="148"/>
      <c r="F36" s="148"/>
      <c r="G36" s="148"/>
      <c r="H36" s="148"/>
      <c r="I36" s="158" t="e">
        <f t="shared" si="23"/>
        <v>#DIV/0!</v>
      </c>
      <c r="J36" s="159"/>
      <c r="K36" s="159"/>
      <c r="L36" s="159"/>
      <c r="M36" s="159"/>
      <c r="N36" s="159"/>
      <c r="O36" s="159"/>
      <c r="P36" s="159"/>
      <c r="Q36" s="158" t="e">
        <f t="shared" si="13"/>
        <v>#DIV/0!</v>
      </c>
      <c r="R36" s="170"/>
      <c r="S36" s="170"/>
      <c r="T36" s="170"/>
      <c r="U36" s="170"/>
      <c r="V36" s="170"/>
      <c r="W36" s="170"/>
      <c r="X36" s="170"/>
      <c r="Y36" s="170"/>
      <c r="Z36" s="170"/>
      <c r="AA36" s="170"/>
      <c r="AB36" s="158" t="e">
        <f t="shared" si="16"/>
        <v>#DIV/0!</v>
      </c>
      <c r="AC36" s="189"/>
      <c r="AD36" s="189"/>
      <c r="AE36" s="189"/>
      <c r="AF36" s="189"/>
      <c r="AG36" s="189"/>
      <c r="AH36" s="139"/>
      <c r="AI36" s="139"/>
      <c r="AJ36" s="139"/>
      <c r="AK36" s="139"/>
      <c r="AL36" s="139"/>
      <c r="AM36" s="139"/>
      <c r="AN36" s="139"/>
      <c r="AO36" s="139"/>
      <c r="AP36" s="158" t="e">
        <f t="shared" si="17"/>
        <v>#DIV/0!</v>
      </c>
      <c r="AQ36" s="159" t="str">
        <f t="shared" si="14"/>
        <v> </v>
      </c>
      <c r="AR36" s="159"/>
      <c r="AS36" s="159"/>
      <c r="AT36" s="159"/>
      <c r="AU36" s="159"/>
      <c r="AV36" s="159"/>
      <c r="AW36" s="159"/>
      <c r="AX36" s="159"/>
      <c r="AY36" s="158" t="e">
        <f t="shared" si="18"/>
        <v>#DIV/0!</v>
      </c>
      <c r="AZ36" s="171" t="str">
        <f t="shared" si="19"/>
        <v> </v>
      </c>
      <c r="BA36" s="171"/>
      <c r="BB36" s="171"/>
      <c r="BC36" s="171"/>
      <c r="BD36" s="171"/>
      <c r="BE36" s="171"/>
      <c r="BF36" s="171"/>
      <c r="BG36" s="171"/>
      <c r="BH36" s="171"/>
      <c r="BI36" s="158" t="e">
        <f t="shared" si="20"/>
        <v>#DIV/0!</v>
      </c>
      <c r="BJ36" s="190" t="str">
        <f t="shared" si="15"/>
        <v> </v>
      </c>
      <c r="BK36" s="190"/>
      <c r="BL36" s="190"/>
      <c r="BM36" s="190"/>
      <c r="BN36" s="190"/>
      <c r="BO36" s="190"/>
      <c r="BP36" s="190"/>
      <c r="BQ36" s="190"/>
      <c r="BR36" s="158" t="e">
        <f t="shared" si="24"/>
        <v>#DIV/0!</v>
      </c>
      <c r="BS36" s="227"/>
      <c r="BT36" s="227"/>
      <c r="BU36" s="227"/>
      <c r="BV36" s="227"/>
      <c r="BW36" s="227"/>
      <c r="BX36" s="228" t="str">
        <f t="shared" si="11"/>
        <v> </v>
      </c>
      <c r="BY36" s="228"/>
      <c r="BZ36" s="158"/>
      <c r="CA36" s="158"/>
      <c r="CB36" s="158"/>
      <c r="CC36" s="158"/>
      <c r="CD36" s="158"/>
      <c r="CE36" s="158"/>
      <c r="CF36" s="158"/>
      <c r="CG36" s="158"/>
      <c r="CH36" s="227"/>
      <c r="CI36" s="158" t="e">
        <f t="shared" si="21"/>
        <v>#DIV/0!</v>
      </c>
      <c r="CJ36" s="171" t="str">
        <f t="shared" si="12"/>
        <v> </v>
      </c>
      <c r="CK36" s="171"/>
      <c r="CL36" s="171"/>
      <c r="CM36" s="171"/>
      <c r="CN36" s="171"/>
      <c r="CO36" s="171"/>
      <c r="CP36" s="171"/>
      <c r="CQ36" s="171"/>
      <c r="CR36" s="171"/>
      <c r="CS36" s="158" t="e">
        <f t="shared" si="22"/>
        <v>#DIV/0!</v>
      </c>
      <c r="CT36" s="189"/>
      <c r="CU36" s="189"/>
      <c r="CV36" s="189"/>
      <c r="CW36" s="195"/>
      <c r="CX36" s="148"/>
      <c r="CY36" s="148"/>
      <c r="CZ36" s="148"/>
      <c r="DA36" s="148"/>
      <c r="DB36" s="159"/>
      <c r="DC36" s="159"/>
      <c r="DD36" s="159"/>
    </row>
    <row r="37" spans="1:108">
      <c r="A37" s="137">
        <v>33</v>
      </c>
      <c r="B37" s="138">
        <f>'RELACION ESTUDIANTES - 2022'!B38</f>
        <v>0</v>
      </c>
      <c r="C37" s="139"/>
      <c r="D37" s="148"/>
      <c r="E37" s="148"/>
      <c r="F37" s="148"/>
      <c r="G37" s="148"/>
      <c r="H37" s="148"/>
      <c r="I37" s="148"/>
      <c r="J37" s="159" t="str">
        <f>IF(O37&gt;=18,"AD",IF(O37&gt;=15,"A",IF(O37&gt;=11,"B"," ")))</f>
        <v> </v>
      </c>
      <c r="K37" s="159"/>
      <c r="L37" s="159"/>
      <c r="M37" s="159"/>
      <c r="N37" s="159"/>
      <c r="O37" s="159"/>
      <c r="P37" s="159"/>
      <c r="Q37" s="159"/>
      <c r="R37" s="170"/>
      <c r="S37" s="170"/>
      <c r="T37" s="170"/>
      <c r="U37" s="170"/>
      <c r="V37" s="170"/>
      <c r="W37" s="170"/>
      <c r="X37" s="170"/>
      <c r="Y37" s="170"/>
      <c r="Z37" s="170"/>
      <c r="AA37" s="170"/>
      <c r="AB37" s="159"/>
      <c r="AC37" s="195"/>
      <c r="AD37" s="189"/>
      <c r="AE37" s="189"/>
      <c r="AF37" s="189"/>
      <c r="AG37" s="195"/>
      <c r="AH37" s="139"/>
      <c r="AI37" s="148"/>
      <c r="AJ37" s="148"/>
      <c r="AK37" s="148"/>
      <c r="AL37" s="148"/>
      <c r="AM37" s="148"/>
      <c r="AN37" s="148"/>
      <c r="AO37" s="148"/>
      <c r="AP37" s="139"/>
      <c r="AQ37" s="159" t="str">
        <f t="shared" si="14"/>
        <v> </v>
      </c>
      <c r="AR37" s="159"/>
      <c r="AS37" s="159"/>
      <c r="AT37" s="159"/>
      <c r="AU37" s="159"/>
      <c r="AV37" s="159"/>
      <c r="AW37" s="159"/>
      <c r="AX37" s="159"/>
      <c r="AY37" s="159" t="e">
        <f t="shared" si="18"/>
        <v>#DIV/0!</v>
      </c>
      <c r="AZ37" s="171" t="str">
        <f t="shared" si="19"/>
        <v> </v>
      </c>
      <c r="BA37" s="170"/>
      <c r="BB37" s="170"/>
      <c r="BC37" s="170"/>
      <c r="BD37" s="170"/>
      <c r="BE37" s="170"/>
      <c r="BF37" s="170"/>
      <c r="BG37" s="170"/>
      <c r="BH37" s="170"/>
      <c r="BI37" s="170"/>
      <c r="BJ37" s="195"/>
      <c r="BK37" s="189"/>
      <c r="BL37" s="189"/>
      <c r="BM37" s="189"/>
      <c r="BN37" s="189"/>
      <c r="BO37" s="189"/>
      <c r="BP37" s="189"/>
      <c r="BQ37" s="195"/>
      <c r="BR37" s="229"/>
      <c r="BS37" s="148"/>
      <c r="BT37" s="148"/>
      <c r="BU37" s="148"/>
      <c r="BV37" s="148"/>
      <c r="BW37" s="148"/>
      <c r="BX37" s="159" t="str">
        <f t="shared" si="11"/>
        <v> </v>
      </c>
      <c r="BY37" s="159"/>
      <c r="BZ37" s="159"/>
      <c r="CA37" s="159"/>
      <c r="CB37" s="159"/>
      <c r="CC37" s="159"/>
      <c r="CD37" s="159"/>
      <c r="CE37" s="159"/>
      <c r="CF37" s="159"/>
      <c r="CG37" s="159"/>
      <c r="CH37" s="159"/>
      <c r="CI37" s="159"/>
      <c r="CJ37" s="170"/>
      <c r="CK37" s="170"/>
      <c r="CL37" s="170"/>
      <c r="CM37" s="170"/>
      <c r="CN37" s="170"/>
      <c r="CO37" s="170"/>
      <c r="CP37" s="170"/>
      <c r="CQ37" s="170"/>
      <c r="CR37" s="170"/>
      <c r="CS37" s="170"/>
      <c r="CT37" s="195"/>
      <c r="CU37" s="195"/>
      <c r="CV37" s="195"/>
      <c r="CW37" s="195"/>
      <c r="CX37" s="148"/>
      <c r="CY37" s="148"/>
      <c r="CZ37" s="148"/>
      <c r="DA37" s="148"/>
      <c r="DB37" s="159"/>
      <c r="DC37" s="159"/>
      <c r="DD37" s="159"/>
    </row>
    <row r="38" spans="1:108">
      <c r="A38" s="137">
        <v>34</v>
      </c>
      <c r="B38" s="138">
        <f>'RELACION ESTUDIANTES - 2022'!B39</f>
        <v>0</v>
      </c>
      <c r="C38" s="148"/>
      <c r="D38" s="148" t="s">
        <v>232</v>
      </c>
      <c r="E38" s="148" t="s">
        <v>233</v>
      </c>
      <c r="F38" s="148" t="s">
        <v>234</v>
      </c>
      <c r="G38" s="148"/>
      <c r="H38" s="148"/>
      <c r="I38" s="148"/>
      <c r="J38" s="159"/>
      <c r="K38" s="159" t="s">
        <v>235</v>
      </c>
      <c r="L38" s="159" t="s">
        <v>236</v>
      </c>
      <c r="M38" s="159" t="s">
        <v>109</v>
      </c>
      <c r="N38" s="159" t="s">
        <v>108</v>
      </c>
      <c r="O38" s="159" t="s">
        <v>237</v>
      </c>
      <c r="P38" s="159"/>
      <c r="Q38" s="159"/>
      <c r="R38" s="170"/>
      <c r="S38" s="170"/>
      <c r="T38" s="170"/>
      <c r="U38" s="170"/>
      <c r="V38" s="170"/>
      <c r="W38" s="170"/>
      <c r="X38" s="170"/>
      <c r="Y38" s="170"/>
      <c r="Z38" s="170"/>
      <c r="AA38" s="170"/>
      <c r="AB38" s="170"/>
      <c r="AC38" s="189"/>
      <c r="AD38" s="189"/>
      <c r="AE38" s="189"/>
      <c r="AF38" s="189"/>
      <c r="AG38" s="195"/>
      <c r="AH38" s="148"/>
      <c r="AI38" s="148" t="s">
        <v>108</v>
      </c>
      <c r="AJ38" s="148" t="s">
        <v>108</v>
      </c>
      <c r="AK38" s="148" t="s">
        <v>109</v>
      </c>
      <c r="AL38" s="148"/>
      <c r="AM38" s="148"/>
      <c r="AN38" s="148"/>
      <c r="AO38" s="211"/>
      <c r="AP38" s="212"/>
      <c r="AQ38" s="159"/>
      <c r="AR38" s="159" t="s">
        <v>108</v>
      </c>
      <c r="AS38" s="159" t="s">
        <v>108</v>
      </c>
      <c r="AT38" s="159" t="s">
        <v>109</v>
      </c>
      <c r="AU38" s="159"/>
      <c r="AV38" s="159" t="s">
        <v>110</v>
      </c>
      <c r="AW38" s="159"/>
      <c r="AX38" s="159"/>
      <c r="AY38" s="159"/>
      <c r="AZ38" s="170"/>
      <c r="BA38" s="170"/>
      <c r="BB38" s="170"/>
      <c r="BC38" s="170" t="s">
        <v>109</v>
      </c>
      <c r="BD38" s="170"/>
      <c r="BE38" s="170"/>
      <c r="BF38" s="170"/>
      <c r="BG38" s="170"/>
      <c r="BH38" s="170"/>
      <c r="BI38" s="170"/>
      <c r="BJ38" s="189"/>
      <c r="BK38" s="189"/>
      <c r="BL38" s="189"/>
      <c r="BM38" s="189"/>
      <c r="BN38" s="189"/>
      <c r="BO38" s="189"/>
      <c r="BP38" s="189"/>
      <c r="BQ38" s="195"/>
      <c r="BR38" s="229"/>
      <c r="BS38" s="148"/>
      <c r="BT38" s="148"/>
      <c r="BU38" s="148"/>
      <c r="BV38" s="148"/>
      <c r="BW38" s="148"/>
      <c r="BX38" s="159"/>
      <c r="BY38" s="159"/>
      <c r="BZ38" s="159"/>
      <c r="CA38" s="159"/>
      <c r="CB38" s="159"/>
      <c r="CC38" s="159"/>
      <c r="CD38" s="159"/>
      <c r="CE38" s="159"/>
      <c r="CF38" s="159"/>
      <c r="CG38" s="159"/>
      <c r="CH38" s="159"/>
      <c r="CI38" s="159"/>
      <c r="CJ38" s="170"/>
      <c r="CK38" s="170"/>
      <c r="CL38" s="170"/>
      <c r="CM38" s="170"/>
      <c r="CN38" s="170"/>
      <c r="CO38" s="170"/>
      <c r="CP38" s="170"/>
      <c r="CQ38" s="170"/>
      <c r="CR38" s="170"/>
      <c r="CS38" s="170"/>
      <c r="CT38" s="189"/>
      <c r="CU38" s="189"/>
      <c r="CV38" s="189"/>
      <c r="CW38" s="195"/>
      <c r="CX38" s="148"/>
      <c r="CY38" s="148"/>
      <c r="CZ38" s="148"/>
      <c r="DA38" s="211"/>
      <c r="DB38" s="159"/>
      <c r="DC38" s="159"/>
      <c r="DD38" s="159"/>
    </row>
    <row r="39" spans="1:108">
      <c r="A39" s="137">
        <v>35</v>
      </c>
      <c r="B39" s="138"/>
      <c r="C39" s="148"/>
      <c r="D39" s="148">
        <v>1</v>
      </c>
      <c r="E39" s="148">
        <v>2</v>
      </c>
      <c r="F39" s="148">
        <v>1</v>
      </c>
      <c r="G39" s="148"/>
      <c r="H39" s="148"/>
      <c r="I39" s="148"/>
      <c r="J39" s="159"/>
      <c r="K39" s="159"/>
      <c r="L39" s="159"/>
      <c r="M39" s="159" t="s">
        <v>238</v>
      </c>
      <c r="N39" s="159" t="s">
        <v>239</v>
      </c>
      <c r="O39" s="159" t="s">
        <v>240</v>
      </c>
      <c r="P39" s="159"/>
      <c r="Q39" s="159"/>
      <c r="R39" s="170"/>
      <c r="S39" s="170"/>
      <c r="T39" s="170"/>
      <c r="U39" s="170"/>
      <c r="V39" s="170"/>
      <c r="W39" s="170"/>
      <c r="X39" s="170"/>
      <c r="Y39" s="170"/>
      <c r="Z39" s="170"/>
      <c r="AA39" s="170"/>
      <c r="AB39" s="170"/>
      <c r="AC39" s="195"/>
      <c r="AD39" s="195"/>
      <c r="AE39" s="195"/>
      <c r="AF39" s="195"/>
      <c r="AG39" s="195"/>
      <c r="AH39" s="148"/>
      <c r="AI39" s="148" t="s">
        <v>241</v>
      </c>
      <c r="AJ39" s="148" t="s">
        <v>242</v>
      </c>
      <c r="AK39" s="148" t="s">
        <v>243</v>
      </c>
      <c r="AL39" s="148"/>
      <c r="AM39" s="148"/>
      <c r="AN39" s="148"/>
      <c r="AO39" s="211"/>
      <c r="AP39" s="212"/>
      <c r="AQ39" s="159"/>
      <c r="AR39" s="159" t="s">
        <v>111</v>
      </c>
      <c r="AS39" s="159" t="s">
        <v>112</v>
      </c>
      <c r="AT39" s="159" t="s">
        <v>111</v>
      </c>
      <c r="AU39" s="159"/>
      <c r="AV39" s="159" t="s">
        <v>111</v>
      </c>
      <c r="AW39" s="159"/>
      <c r="AX39" s="159"/>
      <c r="AY39" s="159"/>
      <c r="AZ39" s="170"/>
      <c r="BA39" s="170"/>
      <c r="BB39" s="170"/>
      <c r="BC39" s="170" t="s">
        <v>113</v>
      </c>
      <c r="BD39" s="170"/>
      <c r="BE39" s="170"/>
      <c r="BF39" s="170"/>
      <c r="BG39" s="170"/>
      <c r="BH39" s="170"/>
      <c r="BI39" s="170"/>
      <c r="BJ39" s="195"/>
      <c r="BK39" s="195"/>
      <c r="BL39" s="195"/>
      <c r="BM39" s="195"/>
      <c r="BN39" s="195"/>
      <c r="BO39" s="195"/>
      <c r="BP39" s="195"/>
      <c r="BQ39" s="195"/>
      <c r="BR39" s="229"/>
      <c r="BS39" s="148"/>
      <c r="BT39" s="148"/>
      <c r="BU39" s="148"/>
      <c r="BV39" s="148"/>
      <c r="BW39" s="148"/>
      <c r="BX39" s="159"/>
      <c r="BY39" s="159"/>
      <c r="BZ39" s="159"/>
      <c r="CA39" s="159"/>
      <c r="CB39" s="159"/>
      <c r="CC39" s="159"/>
      <c r="CD39" s="159"/>
      <c r="CE39" s="159"/>
      <c r="CF39" s="159"/>
      <c r="CG39" s="159"/>
      <c r="CH39" s="159"/>
      <c r="CI39" s="159"/>
      <c r="CJ39" s="170"/>
      <c r="CK39" s="170"/>
      <c r="CL39" s="170"/>
      <c r="CM39" s="170"/>
      <c r="CN39" s="170"/>
      <c r="CO39" s="170"/>
      <c r="CP39" s="170"/>
      <c r="CQ39" s="170"/>
      <c r="CR39" s="170"/>
      <c r="CS39" s="170"/>
      <c r="CT39" s="189"/>
      <c r="CU39" s="189"/>
      <c r="CV39" s="189"/>
      <c r="CW39" s="195"/>
      <c r="CX39" s="148"/>
      <c r="CY39" s="148"/>
      <c r="CZ39" s="148"/>
      <c r="DA39" s="211"/>
      <c r="DB39" s="159"/>
      <c r="DC39" s="159"/>
      <c r="DD39" s="159"/>
    </row>
    <row r="40" spans="1:108">
      <c r="A40" s="137">
        <v>36</v>
      </c>
      <c r="B40" s="138"/>
      <c r="C40" s="148"/>
      <c r="D40" s="148"/>
      <c r="E40" s="148"/>
      <c r="F40" s="148">
        <v>2</v>
      </c>
      <c r="G40" s="148"/>
      <c r="H40" s="148"/>
      <c r="I40" s="148"/>
      <c r="J40" s="159"/>
      <c r="K40" s="159"/>
      <c r="L40" s="159"/>
      <c r="M40" s="159"/>
      <c r="N40" s="159" t="s">
        <v>244</v>
      </c>
      <c r="O40" s="159"/>
      <c r="P40" s="159"/>
      <c r="Q40" s="159"/>
      <c r="R40" s="170"/>
      <c r="S40" s="170"/>
      <c r="T40" s="170"/>
      <c r="U40" s="170"/>
      <c r="V40" s="170"/>
      <c r="W40" s="170"/>
      <c r="X40" s="170"/>
      <c r="Y40" s="170"/>
      <c r="Z40" s="170"/>
      <c r="AA40" s="170"/>
      <c r="AB40" s="170"/>
      <c r="AC40" s="189"/>
      <c r="AD40" s="189"/>
      <c r="AE40" s="189"/>
      <c r="AF40" s="189"/>
      <c r="AG40" s="195"/>
      <c r="AH40" s="148"/>
      <c r="AI40" s="148"/>
      <c r="AJ40" s="148" t="s">
        <v>243</v>
      </c>
      <c r="AK40" s="148"/>
      <c r="AL40" s="148"/>
      <c r="AM40" s="148"/>
      <c r="AN40" s="148"/>
      <c r="AO40" s="211"/>
      <c r="AP40" s="212"/>
      <c r="AQ40" s="159"/>
      <c r="AR40" s="159"/>
      <c r="AS40" s="159" t="s">
        <v>111</v>
      </c>
      <c r="AT40" s="159" t="s">
        <v>114</v>
      </c>
      <c r="AU40" s="159"/>
      <c r="AV40" s="159"/>
      <c r="AW40" s="159"/>
      <c r="AX40" s="159"/>
      <c r="AY40" s="159"/>
      <c r="AZ40" s="170"/>
      <c r="BA40" s="170"/>
      <c r="BB40" s="170"/>
      <c r="BC40" s="170" t="s">
        <v>115</v>
      </c>
      <c r="BD40" s="170"/>
      <c r="BE40" s="170"/>
      <c r="BF40" s="170"/>
      <c r="BG40" s="170"/>
      <c r="BH40" s="170"/>
      <c r="BI40" s="170"/>
      <c r="BJ40" s="189"/>
      <c r="BK40" s="189"/>
      <c r="BL40" s="189"/>
      <c r="BM40" s="189"/>
      <c r="BN40" s="189"/>
      <c r="BO40" s="189"/>
      <c r="BP40" s="189"/>
      <c r="BQ40" s="195"/>
      <c r="BR40" s="229"/>
      <c r="BS40" s="148"/>
      <c r="BT40" s="148"/>
      <c r="BU40" s="148"/>
      <c r="BV40" s="148"/>
      <c r="BW40" s="211"/>
      <c r="BX40" s="159"/>
      <c r="BY40" s="159"/>
      <c r="BZ40" s="159"/>
      <c r="CA40" s="159"/>
      <c r="CB40" s="159"/>
      <c r="CC40" s="159"/>
      <c r="CD40" s="159"/>
      <c r="CE40" s="159"/>
      <c r="CF40" s="159"/>
      <c r="CG40" s="159"/>
      <c r="CH40" s="159"/>
      <c r="CI40" s="159"/>
      <c r="CJ40" s="170"/>
      <c r="CK40" s="170"/>
      <c r="CL40" s="170"/>
      <c r="CM40" s="170"/>
      <c r="CN40" s="170"/>
      <c r="CO40" s="170"/>
      <c r="CP40" s="170"/>
      <c r="CQ40" s="170"/>
      <c r="CR40" s="170"/>
      <c r="CS40" s="170"/>
      <c r="CT40" s="189"/>
      <c r="CU40" s="189"/>
      <c r="CV40" s="189"/>
      <c r="CW40" s="195"/>
      <c r="CX40" s="148"/>
      <c r="CY40" s="148"/>
      <c r="CZ40" s="148"/>
      <c r="DA40" s="211"/>
      <c r="DB40" s="159"/>
      <c r="DC40" s="159"/>
      <c r="DD40" s="159"/>
    </row>
    <row r="41" spans="1:108">
      <c r="A41" s="137">
        <v>37</v>
      </c>
      <c r="B41" s="138"/>
      <c r="C41" s="148"/>
      <c r="D41" s="148"/>
      <c r="E41" s="148"/>
      <c r="F41" s="148">
        <v>3</v>
      </c>
      <c r="G41" s="148"/>
      <c r="H41" s="148"/>
      <c r="I41" s="148"/>
      <c r="J41" s="159"/>
      <c r="K41" s="159"/>
      <c r="L41" s="159"/>
      <c r="M41" s="159"/>
      <c r="N41" s="159"/>
      <c r="O41" s="159"/>
      <c r="P41" s="159"/>
      <c r="Q41" s="159"/>
      <c r="R41" s="170"/>
      <c r="S41" s="170"/>
      <c r="T41" s="170"/>
      <c r="U41" s="170"/>
      <c r="V41" s="170"/>
      <c r="W41" s="170"/>
      <c r="X41" s="170"/>
      <c r="Y41" s="170"/>
      <c r="Z41" s="170"/>
      <c r="AA41" s="170"/>
      <c r="AB41" s="170"/>
      <c r="AC41" s="189"/>
      <c r="AD41" s="189"/>
      <c r="AE41" s="189"/>
      <c r="AF41" s="189"/>
      <c r="AG41" s="195"/>
      <c r="AH41" s="148"/>
      <c r="AI41" s="148"/>
      <c r="AJ41" s="148"/>
      <c r="AK41" s="148"/>
      <c r="AL41" s="148"/>
      <c r="AM41" s="148"/>
      <c r="AN41" s="148"/>
      <c r="AO41" s="211"/>
      <c r="AP41" s="212"/>
      <c r="AQ41" s="159"/>
      <c r="AR41" s="159"/>
      <c r="AS41" s="159"/>
      <c r="AT41" s="159"/>
      <c r="AU41" s="159"/>
      <c r="AV41" s="159"/>
      <c r="AW41" s="159"/>
      <c r="AX41" s="159"/>
      <c r="AY41" s="159"/>
      <c r="AZ41" s="170"/>
      <c r="BA41" s="170"/>
      <c r="BB41" s="170"/>
      <c r="BC41" s="170"/>
      <c r="BD41" s="170"/>
      <c r="BE41" s="170"/>
      <c r="BF41" s="170"/>
      <c r="BG41" s="170"/>
      <c r="BH41" s="170"/>
      <c r="BI41" s="170"/>
      <c r="BJ41" s="189"/>
      <c r="BK41" s="189"/>
      <c r="BL41" s="189"/>
      <c r="BM41" s="189"/>
      <c r="BN41" s="189"/>
      <c r="BO41" s="189"/>
      <c r="BP41" s="189"/>
      <c r="BQ41" s="195"/>
      <c r="BR41" s="229"/>
      <c r="BS41" s="148"/>
      <c r="BT41" s="148"/>
      <c r="BU41" s="148"/>
      <c r="BV41" s="148"/>
      <c r="BW41" s="211"/>
      <c r="BX41" s="159"/>
      <c r="BY41" s="159"/>
      <c r="BZ41" s="159"/>
      <c r="CA41" s="159"/>
      <c r="CB41" s="159"/>
      <c r="CC41" s="159"/>
      <c r="CD41" s="159"/>
      <c r="CE41" s="159"/>
      <c r="CF41" s="159"/>
      <c r="CG41" s="159"/>
      <c r="CH41" s="159"/>
      <c r="CI41" s="159"/>
      <c r="CJ41" s="170"/>
      <c r="CK41" s="170"/>
      <c r="CL41" s="170"/>
      <c r="CM41" s="170"/>
      <c r="CN41" s="170"/>
      <c r="CO41" s="170"/>
      <c r="CP41" s="170"/>
      <c r="CQ41" s="170"/>
      <c r="CR41" s="170"/>
      <c r="CS41" s="170"/>
      <c r="CT41" s="189"/>
      <c r="CU41" s="189"/>
      <c r="CV41" s="189"/>
      <c r="CW41" s="195"/>
      <c r="CX41" s="148"/>
      <c r="CY41" s="148"/>
      <c r="CZ41" s="148"/>
      <c r="DA41" s="211"/>
      <c r="DB41" s="159"/>
      <c r="DC41" s="159"/>
      <c r="DD41" s="159"/>
    </row>
    <row r="42" spans="1:108">
      <c r="A42" s="137"/>
      <c r="B42" s="149"/>
      <c r="C42" s="148"/>
      <c r="D42" s="148"/>
      <c r="E42" s="148"/>
      <c r="F42" s="148"/>
      <c r="G42" s="148"/>
      <c r="H42" s="148"/>
      <c r="I42" s="148"/>
      <c r="J42" s="159"/>
      <c r="K42" s="159"/>
      <c r="L42" s="159"/>
      <c r="M42" s="159"/>
      <c r="N42" s="159"/>
      <c r="O42" s="159"/>
      <c r="P42" s="159"/>
      <c r="Q42" s="159"/>
      <c r="R42" s="170"/>
      <c r="S42" s="170"/>
      <c r="T42" s="170"/>
      <c r="U42" s="170"/>
      <c r="V42" s="170"/>
      <c r="W42" s="170"/>
      <c r="X42" s="170"/>
      <c r="Y42" s="170"/>
      <c r="Z42" s="170"/>
      <c r="AA42" s="170"/>
      <c r="AB42" s="170"/>
      <c r="AC42" s="189"/>
      <c r="AD42" s="189"/>
      <c r="AE42" s="189"/>
      <c r="AF42" s="189"/>
      <c r="AG42" s="195"/>
      <c r="AH42" s="148"/>
      <c r="AI42" s="148"/>
      <c r="AJ42" s="148"/>
      <c r="AK42" s="148"/>
      <c r="AL42" s="148"/>
      <c r="AM42" s="148"/>
      <c r="AN42" s="148"/>
      <c r="AO42" s="211"/>
      <c r="AP42" s="212"/>
      <c r="AQ42" s="159"/>
      <c r="AR42" s="159"/>
      <c r="AS42" s="159"/>
      <c r="AT42" s="159"/>
      <c r="AU42" s="159"/>
      <c r="AV42" s="159"/>
      <c r="AW42" s="159"/>
      <c r="AX42" s="159"/>
      <c r="AY42" s="159"/>
      <c r="AZ42" s="170"/>
      <c r="BA42" s="170"/>
      <c r="BB42" s="170"/>
      <c r="BC42" s="170"/>
      <c r="BD42" s="170"/>
      <c r="BE42" s="170"/>
      <c r="BF42" s="170"/>
      <c r="BG42" s="170"/>
      <c r="BH42" s="170"/>
      <c r="BI42" s="170"/>
      <c r="BJ42" s="189"/>
      <c r="BK42" s="189"/>
      <c r="BL42" s="189"/>
      <c r="BM42" s="189"/>
      <c r="BN42" s="189"/>
      <c r="BO42" s="189"/>
      <c r="BP42" s="189"/>
      <c r="BQ42" s="195"/>
      <c r="BR42" s="229"/>
      <c r="BS42" s="148"/>
      <c r="BT42" s="148"/>
      <c r="BU42" s="148"/>
      <c r="BV42" s="148"/>
      <c r="BW42" s="211"/>
      <c r="BX42" s="159"/>
      <c r="BY42" s="159"/>
      <c r="BZ42" s="159"/>
      <c r="CA42" s="159"/>
      <c r="CB42" s="159"/>
      <c r="CC42" s="159"/>
      <c r="CD42" s="159"/>
      <c r="CE42" s="159"/>
      <c r="CF42" s="159"/>
      <c r="CG42" s="159"/>
      <c r="CH42" s="159"/>
      <c r="CI42" s="159"/>
      <c r="CJ42" s="170"/>
      <c r="CK42" s="170"/>
      <c r="CL42" s="170"/>
      <c r="CM42" s="170"/>
      <c r="CN42" s="170"/>
      <c r="CO42" s="170"/>
      <c r="CP42" s="170"/>
      <c r="CQ42" s="170"/>
      <c r="CR42" s="170"/>
      <c r="CS42" s="170"/>
      <c r="CT42" s="189"/>
      <c r="CU42" s="189"/>
      <c r="CV42" s="189"/>
      <c r="CW42" s="195"/>
      <c r="CX42" s="148"/>
      <c r="CY42" s="148"/>
      <c r="CZ42" s="148"/>
      <c r="DA42" s="211"/>
      <c r="DB42" s="159"/>
      <c r="DC42" s="159"/>
      <c r="DD42" s="159"/>
    </row>
    <row r="43" ht="15" spans="1:108">
      <c r="A43" s="137"/>
      <c r="B43" s="150"/>
      <c r="C43" s="148"/>
      <c r="D43" s="148"/>
      <c r="E43" s="148"/>
      <c r="F43" s="148"/>
      <c r="G43" s="148"/>
      <c r="H43" s="148"/>
      <c r="I43" s="148"/>
      <c r="J43" s="159"/>
      <c r="K43" s="159"/>
      <c r="L43" s="159"/>
      <c r="M43" s="159"/>
      <c r="N43" s="159"/>
      <c r="O43" s="159"/>
      <c r="P43" s="159"/>
      <c r="Q43" s="159"/>
      <c r="R43" s="170"/>
      <c r="S43" s="170"/>
      <c r="T43" s="170"/>
      <c r="U43" s="170"/>
      <c r="V43" s="170"/>
      <c r="W43" s="170"/>
      <c r="X43" s="170"/>
      <c r="Y43" s="170"/>
      <c r="Z43" s="170"/>
      <c r="AA43" s="170"/>
      <c r="AB43" s="170"/>
      <c r="AC43" s="189"/>
      <c r="AD43" s="189"/>
      <c r="AE43" s="189"/>
      <c r="AF43" s="189"/>
      <c r="AG43" s="195"/>
      <c r="AH43" s="148"/>
      <c r="AI43" s="148"/>
      <c r="AJ43" s="148"/>
      <c r="AK43" s="148"/>
      <c r="AL43" s="148"/>
      <c r="AM43" s="148"/>
      <c r="AN43" s="148"/>
      <c r="AO43" s="211"/>
      <c r="AP43" s="212"/>
      <c r="AQ43" s="159"/>
      <c r="AR43" s="159"/>
      <c r="AS43" s="159"/>
      <c r="AT43" s="159"/>
      <c r="AU43" s="159"/>
      <c r="AV43" s="159"/>
      <c r="AW43" s="159"/>
      <c r="AX43" s="159"/>
      <c r="AY43" s="159"/>
      <c r="AZ43" s="170"/>
      <c r="BA43" s="170"/>
      <c r="BB43" s="170"/>
      <c r="BC43" s="170"/>
      <c r="BD43" s="170"/>
      <c r="BE43" s="170"/>
      <c r="BF43" s="170"/>
      <c r="BG43" s="170"/>
      <c r="BH43" s="170"/>
      <c r="BI43" s="170"/>
      <c r="BJ43" s="189"/>
      <c r="BK43" s="189"/>
      <c r="BL43" s="189"/>
      <c r="BM43" s="189"/>
      <c r="BN43" s="189"/>
      <c r="BO43" s="189"/>
      <c r="BP43" s="189"/>
      <c r="BQ43" s="195"/>
      <c r="BR43" s="229"/>
      <c r="BS43" s="148"/>
      <c r="BT43" s="148"/>
      <c r="BU43" s="148"/>
      <c r="BV43" s="148"/>
      <c r="BW43" s="211"/>
      <c r="BX43" s="159"/>
      <c r="BY43" s="159"/>
      <c r="BZ43" s="159"/>
      <c r="CA43" s="159"/>
      <c r="CB43" s="159"/>
      <c r="CC43" s="159"/>
      <c r="CD43" s="159"/>
      <c r="CE43" s="159"/>
      <c r="CF43" s="159"/>
      <c r="CG43" s="159"/>
      <c r="CH43" s="159"/>
      <c r="CI43" s="159"/>
      <c r="CJ43" s="170"/>
      <c r="CK43" s="170"/>
      <c r="CL43" s="170"/>
      <c r="CM43" s="170"/>
      <c r="CN43" s="170"/>
      <c r="CO43" s="170"/>
      <c r="CP43" s="170"/>
      <c r="CQ43" s="170"/>
      <c r="CR43" s="170"/>
      <c r="CS43" s="170"/>
      <c r="CT43" s="151">
        <f>COUNTIF(CT6:CT38,"OK")</f>
        <v>0</v>
      </c>
      <c r="CU43" s="151">
        <f>COUNTIF(CU6:CU38,"OK")</f>
        <v>0</v>
      </c>
      <c r="CV43" s="151"/>
      <c r="CW43" s="205">
        <f>COUNTIF(CW6:CW38,"OK")</f>
        <v>0</v>
      </c>
      <c r="CX43" s="151">
        <f>COUNTIF(CX6:CX38,"OK")</f>
        <v>0</v>
      </c>
      <c r="CY43" s="151">
        <f>COUNTIF(CY6:CY38,"OK")</f>
        <v>0</v>
      </c>
      <c r="CZ43" s="151"/>
      <c r="DA43" s="151">
        <f>COUNTIF(DA6:DA38,"OK")</f>
        <v>0</v>
      </c>
      <c r="DB43" s="151">
        <f>COUNTIF(DB6:DB38,"OK")</f>
        <v>0</v>
      </c>
      <c r="DC43" s="151"/>
      <c r="DD43" s="151">
        <f>COUNTIF(DD6:DD38,"OK")</f>
        <v>0</v>
      </c>
    </row>
    <row r="44" ht="15" spans="1:108">
      <c r="A44" s="137"/>
      <c r="B44" s="150" t="s">
        <v>116</v>
      </c>
      <c r="C44" s="148"/>
      <c r="D44" s="148"/>
      <c r="E44" s="148"/>
      <c r="F44" s="148"/>
      <c r="G44" s="148"/>
      <c r="H44" s="148"/>
      <c r="I44" s="148"/>
      <c r="J44" s="159"/>
      <c r="K44" s="159"/>
      <c r="L44" s="159"/>
      <c r="M44" s="159"/>
      <c r="N44" s="159"/>
      <c r="O44" s="159"/>
      <c r="P44" s="159"/>
      <c r="Q44" s="159"/>
      <c r="R44" s="170"/>
      <c r="S44" s="170"/>
      <c r="T44" s="170"/>
      <c r="U44" s="170"/>
      <c r="V44" s="170"/>
      <c r="W44" s="170"/>
      <c r="X44" s="170"/>
      <c r="Y44" s="170"/>
      <c r="Z44" s="170"/>
      <c r="AA44" s="170"/>
      <c r="AB44" s="170"/>
      <c r="AC44" s="189"/>
      <c r="AD44" s="189"/>
      <c r="AE44" s="189"/>
      <c r="AF44" s="189"/>
      <c r="AG44" s="195"/>
      <c r="AH44" s="148"/>
      <c r="AI44" s="148"/>
      <c r="AJ44" s="148"/>
      <c r="AK44" s="148"/>
      <c r="AL44" s="148"/>
      <c r="AM44" s="148"/>
      <c r="AN44" s="148"/>
      <c r="AO44" s="211"/>
      <c r="AP44" s="212"/>
      <c r="AQ44" s="159"/>
      <c r="AR44" s="159"/>
      <c r="AS44" s="159"/>
      <c r="AT44" s="159"/>
      <c r="AU44" s="159"/>
      <c r="AV44" s="159"/>
      <c r="AW44" s="159"/>
      <c r="AX44" s="159"/>
      <c r="AY44" s="159"/>
      <c r="AZ44" s="170"/>
      <c r="BA44" s="170"/>
      <c r="BB44" s="170"/>
      <c r="BC44" s="170"/>
      <c r="BD44" s="170"/>
      <c r="BE44" s="170"/>
      <c r="BF44" s="170"/>
      <c r="BG44" s="170"/>
      <c r="BH44" s="170"/>
      <c r="BI44" s="170"/>
      <c r="BJ44" s="189"/>
      <c r="BK44" s="189"/>
      <c r="BL44" s="189"/>
      <c r="BM44" s="189"/>
      <c r="BN44" s="189"/>
      <c r="BO44" s="189"/>
      <c r="BP44" s="189"/>
      <c r="BQ44" s="195"/>
      <c r="BR44" s="229"/>
      <c r="BS44" s="148"/>
      <c r="BT44" s="148"/>
      <c r="BU44" s="148"/>
      <c r="BV44" s="148"/>
      <c r="BW44" s="211"/>
      <c r="BX44" s="159"/>
      <c r="BY44" s="159"/>
      <c r="BZ44" s="159"/>
      <c r="CA44" s="159"/>
      <c r="CB44" s="159"/>
      <c r="CC44" s="159"/>
      <c r="CD44" s="159"/>
      <c r="CE44" s="159"/>
      <c r="CF44" s="159"/>
      <c r="CG44" s="159"/>
      <c r="CH44" s="159"/>
      <c r="CI44" s="159"/>
      <c r="CJ44" s="170"/>
      <c r="CK44" s="170"/>
      <c r="CL44" s="170"/>
      <c r="CM44" s="170"/>
      <c r="CN44" s="170"/>
      <c r="CO44" s="170"/>
      <c r="CP44" s="170"/>
      <c r="CQ44" s="170"/>
      <c r="CR44" s="170"/>
      <c r="CS44" s="170"/>
      <c r="CT44" s="151">
        <f>COUNTIF(CT6:CT38,"NO")</f>
        <v>0</v>
      </c>
      <c r="CU44" s="151">
        <f>COUNTIF(CU6:CU38,"NO")</f>
        <v>0</v>
      </c>
      <c r="CV44" s="151"/>
      <c r="CW44" s="205">
        <f>COUNTIF(CW6:CW38,"NO")</f>
        <v>0</v>
      </c>
      <c r="CX44" s="151">
        <f>COUNTIF(CX6:CX38,"NO")</f>
        <v>0</v>
      </c>
      <c r="CY44" s="151">
        <f>COUNTIF(CY6:CY38,"NO")</f>
        <v>0</v>
      </c>
      <c r="CZ44" s="151"/>
      <c r="DA44" s="151">
        <f>COUNTIF(DA6:DA38,"NO")</f>
        <v>0</v>
      </c>
      <c r="DB44" s="151">
        <f>COUNTIF(DB6:DB38,"NO")</f>
        <v>0</v>
      </c>
      <c r="DC44" s="151"/>
      <c r="DD44" s="151">
        <f>COUNTIF(DD6:DD38,"NO")</f>
        <v>0</v>
      </c>
    </row>
    <row r="45" ht="15" spans="1:108">
      <c r="A45" s="137"/>
      <c r="B45" s="150" t="s">
        <v>117</v>
      </c>
      <c r="C45" s="151">
        <f>COUNTIF(C6:C40,"OK")</f>
        <v>0</v>
      </c>
      <c r="D45" s="151">
        <f>COUNTIF(D6:D40,"OK")</f>
        <v>0</v>
      </c>
      <c r="E45" s="151"/>
      <c r="F45" s="151"/>
      <c r="G45" s="151"/>
      <c r="H45" s="151"/>
      <c r="I45" s="151"/>
      <c r="J45" s="151">
        <f>COUNTIF(J6:J40,"OK")</f>
        <v>0</v>
      </c>
      <c r="K45" s="151"/>
      <c r="L45" s="151"/>
      <c r="M45" s="151"/>
      <c r="N45" s="151"/>
      <c r="O45" s="151">
        <f>COUNTIF(O6:O40,"OK")</f>
        <v>0</v>
      </c>
      <c r="P45" s="151">
        <f>COUNTIF(P6:P40,"OK")</f>
        <v>0</v>
      </c>
      <c r="Q45" s="151"/>
      <c r="R45" s="151">
        <f>COUNTIF(R6:R40,"OK")</f>
        <v>0</v>
      </c>
      <c r="S45" s="151"/>
      <c r="T45" s="151">
        <f>COUNTIF(T6:T40,"OK")</f>
        <v>0</v>
      </c>
      <c r="U45" s="151"/>
      <c r="V45" s="151"/>
      <c r="W45" s="151"/>
      <c r="X45" s="151"/>
      <c r="Y45" s="151"/>
      <c r="Z45" s="151"/>
      <c r="AA45" s="151"/>
      <c r="AB45" s="151">
        <f>COUNTIF(AB6:AB40,"OK")</f>
        <v>0</v>
      </c>
      <c r="AC45" s="151">
        <f>COUNTIF(AC6:AC40,"OK")</f>
        <v>0</v>
      </c>
      <c r="AD45" s="151">
        <f>COUNTIF(AD6:AD40,"OK")</f>
        <v>0</v>
      </c>
      <c r="AE45" s="151"/>
      <c r="AF45" s="151"/>
      <c r="AG45" s="205">
        <f>COUNTIF(AG6:AG40,"OK")</f>
        <v>0</v>
      </c>
      <c r="AH45" s="151">
        <f>COUNTIF(AH6:AH40,"OK")</f>
        <v>0</v>
      </c>
      <c r="AI45" s="151">
        <f>COUNTIF(AI6:AI40,"OK")</f>
        <v>0</v>
      </c>
      <c r="AJ45" s="151"/>
      <c r="AK45" s="151"/>
      <c r="AL45" s="151"/>
      <c r="AM45" s="151"/>
      <c r="AN45" s="151"/>
      <c r="AO45" s="151">
        <f>COUNTIF(AO6:AO40,"OK")</f>
        <v>0</v>
      </c>
      <c r="AP45" s="151"/>
      <c r="AQ45" s="151">
        <f>COUNTIF(AQ6:AQ40,"OK")</f>
        <v>0</v>
      </c>
      <c r="AR45" s="151">
        <f>COUNTIF(AR6:AR40,"OK")</f>
        <v>0</v>
      </c>
      <c r="AS45" s="151"/>
      <c r="AT45" s="151"/>
      <c r="AU45" s="151"/>
      <c r="AV45" s="151"/>
      <c r="AW45" s="151"/>
      <c r="AX45" s="151">
        <f>COUNTIF(AX6:AX40,"OK")</f>
        <v>0</v>
      </c>
      <c r="AY45" s="151"/>
      <c r="AZ45" s="151">
        <f>COUNTIF(AZ6:AZ40,"OK")</f>
        <v>0</v>
      </c>
      <c r="BA45" s="151">
        <f>COUNTIF(BA6:BA40,"OK")</f>
        <v>0</v>
      </c>
      <c r="BB45" s="151"/>
      <c r="BC45" s="151"/>
      <c r="BD45" s="151"/>
      <c r="BE45" s="151"/>
      <c r="BF45" s="151">
        <f>COUNTIF(BF6:BF40,"OK")</f>
        <v>0</v>
      </c>
      <c r="BG45" s="151"/>
      <c r="BH45" s="151"/>
      <c r="BI45" s="151"/>
      <c r="BJ45" s="151">
        <f>COUNTIF(BJ6:BJ40,"OK")</f>
        <v>0</v>
      </c>
      <c r="BK45" s="151">
        <f>COUNTIF(BK6:BK40,"OK")</f>
        <v>0</v>
      </c>
      <c r="BL45" s="151"/>
      <c r="BM45" s="151"/>
      <c r="BN45" s="151"/>
      <c r="BO45" s="151"/>
      <c r="BP45" s="151"/>
      <c r="BQ45" s="205">
        <f>COUNTIF(BQ6:BQ40,"OK")</f>
        <v>0</v>
      </c>
      <c r="BR45" s="205"/>
      <c r="BS45" s="151">
        <f>COUNTIF(BS6:BS40,"OK")</f>
        <v>0</v>
      </c>
      <c r="BT45" s="151">
        <f>COUNTIF(BT6:BT40,"OK")</f>
        <v>0</v>
      </c>
      <c r="BU45" s="151"/>
      <c r="BV45" s="151"/>
      <c r="BW45" s="151">
        <f>COUNTIF(BW6:BW40,"OK")</f>
        <v>0</v>
      </c>
      <c r="BX45" s="151">
        <f>COUNTIF(BX6:BX40,"OK")</f>
        <v>0</v>
      </c>
      <c r="BY45" s="151">
        <f>COUNTIF(BY6:BY40,"OK")</f>
        <v>0</v>
      </c>
      <c r="BZ45" s="151"/>
      <c r="CA45" s="151"/>
      <c r="CB45" s="151"/>
      <c r="CC45" s="151"/>
      <c r="CD45" s="151"/>
      <c r="CE45" s="151"/>
      <c r="CF45" s="151"/>
      <c r="CG45" s="151"/>
      <c r="CH45" s="151"/>
      <c r="CI45" s="151">
        <f>COUNTIF(CI6:CI40,"OK")</f>
        <v>0</v>
      </c>
      <c r="CJ45" s="151">
        <f>COUNTIF(CJ6:CJ40,"OK")</f>
        <v>0</v>
      </c>
      <c r="CK45" s="151"/>
      <c r="CL45" s="151"/>
      <c r="CM45" s="151">
        <f>COUNTIF(CM6:CM40,"OK")</f>
        <v>0</v>
      </c>
      <c r="CN45" s="151"/>
      <c r="CO45" s="151"/>
      <c r="CP45" s="151"/>
      <c r="CQ45" s="151"/>
      <c r="CR45" s="151"/>
      <c r="CS45" s="151">
        <f>COUNTIF(CS6:CS40,"OK")</f>
        <v>0</v>
      </c>
      <c r="CT45" s="152">
        <f t="shared" ref="CT45:CY45" si="25">SUM(CT43:CT44)</f>
        <v>0</v>
      </c>
      <c r="CU45" s="152">
        <f t="shared" si="25"/>
        <v>0</v>
      </c>
      <c r="CV45" s="152"/>
      <c r="CW45" s="206">
        <f t="shared" si="25"/>
        <v>0</v>
      </c>
      <c r="CX45" s="152">
        <f t="shared" si="25"/>
        <v>0</v>
      </c>
      <c r="CY45" s="152">
        <f t="shared" si="25"/>
        <v>0</v>
      </c>
      <c r="CZ45" s="152"/>
      <c r="DA45" s="152">
        <f>SUM(DA43:DA44)</f>
        <v>0</v>
      </c>
      <c r="DB45" s="152">
        <f>SUM(DB43:DB44)</f>
        <v>0</v>
      </c>
      <c r="DC45" s="152"/>
      <c r="DD45" s="152">
        <f t="shared" ref="DD45" si="26">SUM(DD43:DD44)</f>
        <v>0</v>
      </c>
    </row>
    <row r="46" ht="15" spans="3:108">
      <c r="C46" s="151">
        <f>COUNTIF(C6:C40,"NO")</f>
        <v>0</v>
      </c>
      <c r="D46" s="151">
        <f>COUNTIF(D6:D40,"NO")</f>
        <v>0</v>
      </c>
      <c r="E46" s="151"/>
      <c r="F46" s="151"/>
      <c r="G46" s="151"/>
      <c r="H46" s="151"/>
      <c r="I46" s="151"/>
      <c r="J46" s="151">
        <f>COUNTIF(J6:J40,"NO")</f>
        <v>0</v>
      </c>
      <c r="K46" s="151"/>
      <c r="L46" s="151"/>
      <c r="M46" s="151"/>
      <c r="N46" s="151"/>
      <c r="O46" s="151">
        <f>COUNTIF(O6:O40,"NO")</f>
        <v>0</v>
      </c>
      <c r="P46" s="151">
        <f>COUNTIF(P6:P40,"NO")</f>
        <v>0</v>
      </c>
      <c r="Q46" s="151"/>
      <c r="R46" s="151">
        <f>COUNTIF(R6:R40,"NO")</f>
        <v>0</v>
      </c>
      <c r="S46" s="151"/>
      <c r="T46" s="151">
        <f>COUNTIF(T6:T40,"NO")</f>
        <v>0</v>
      </c>
      <c r="U46" s="151"/>
      <c r="V46" s="151"/>
      <c r="W46" s="151"/>
      <c r="X46" s="151"/>
      <c r="Y46" s="151"/>
      <c r="Z46" s="151"/>
      <c r="AA46" s="151"/>
      <c r="AB46" s="151">
        <f>COUNTIF(AB6:AB40,"NO")</f>
        <v>0</v>
      </c>
      <c r="AC46" s="151">
        <f>COUNTIF(AC6:AC40,"NO")</f>
        <v>0</v>
      </c>
      <c r="AD46" s="151">
        <f>COUNTIF(AD6:AD40,"NO")</f>
        <v>0</v>
      </c>
      <c r="AE46" s="151"/>
      <c r="AF46" s="151"/>
      <c r="AG46" s="205">
        <f>COUNTIF(AG6:AG40,"NO")</f>
        <v>0</v>
      </c>
      <c r="AH46" s="151">
        <f>COUNTIF(AH6:AH40,"NO")</f>
        <v>0</v>
      </c>
      <c r="AI46" s="151">
        <f>COUNTIF(AI6:AI40,"NO")</f>
        <v>0</v>
      </c>
      <c r="AJ46" s="151"/>
      <c r="AK46" s="151"/>
      <c r="AL46" s="151"/>
      <c r="AM46" s="151"/>
      <c r="AN46" s="151"/>
      <c r="AO46" s="151">
        <f>COUNTIF(AO6:AO40,"NO")</f>
        <v>0</v>
      </c>
      <c r="AP46" s="151"/>
      <c r="AQ46" s="151">
        <f>COUNTIF(AQ6:AQ40,"NO")</f>
        <v>0</v>
      </c>
      <c r="AR46" s="151">
        <f>COUNTIF(AR6:AR40,"NO")</f>
        <v>0</v>
      </c>
      <c r="AS46" s="151"/>
      <c r="AT46" s="151"/>
      <c r="AU46" s="151"/>
      <c r="AV46" s="151"/>
      <c r="AW46" s="151"/>
      <c r="AX46" s="151">
        <f>COUNTIF(AX6:AX40,"NO")</f>
        <v>0</v>
      </c>
      <c r="AY46" s="151"/>
      <c r="AZ46" s="151">
        <f>COUNTIF(AZ6:AZ40,"NO")</f>
        <v>0</v>
      </c>
      <c r="BA46" s="151">
        <f>COUNTIF(BA6:BA40,"NO")</f>
        <v>0</v>
      </c>
      <c r="BB46" s="151"/>
      <c r="BC46" s="151"/>
      <c r="BD46" s="151"/>
      <c r="BE46" s="151"/>
      <c r="BF46" s="151">
        <f>COUNTIF(BF6:BF40,"NO")</f>
        <v>0</v>
      </c>
      <c r="BG46" s="151"/>
      <c r="BH46" s="151"/>
      <c r="BI46" s="151"/>
      <c r="BJ46" s="151">
        <f>COUNTIF(BJ6:BJ40,"NO")</f>
        <v>0</v>
      </c>
      <c r="BK46" s="151">
        <f>COUNTIF(BK6:BK40,"NO")</f>
        <v>0</v>
      </c>
      <c r="BL46" s="151"/>
      <c r="BM46" s="151"/>
      <c r="BN46" s="151"/>
      <c r="BO46" s="151"/>
      <c r="BP46" s="151"/>
      <c r="BQ46" s="205">
        <f>COUNTIF(BQ6:BQ40,"NO")</f>
        <v>0</v>
      </c>
      <c r="BR46" s="205"/>
      <c r="BS46" s="151">
        <f>COUNTIF(BS6:BS40,"NO")</f>
        <v>0</v>
      </c>
      <c r="BT46" s="151">
        <f>COUNTIF(BT6:BT40,"NO")</f>
        <v>0</v>
      </c>
      <c r="BU46" s="151"/>
      <c r="BV46" s="151"/>
      <c r="BW46" s="151">
        <f>COUNTIF(BW6:BW40,"NO")</f>
        <v>0</v>
      </c>
      <c r="BX46" s="151">
        <f>COUNTIF(BX6:BX40,"NO")</f>
        <v>0</v>
      </c>
      <c r="BY46" s="151">
        <f>COUNTIF(BY6:BY40,"NO")</f>
        <v>0</v>
      </c>
      <c r="BZ46" s="151"/>
      <c r="CA46" s="151"/>
      <c r="CB46" s="151"/>
      <c r="CC46" s="151"/>
      <c r="CD46" s="151"/>
      <c r="CE46" s="151"/>
      <c r="CF46" s="151"/>
      <c r="CG46" s="151"/>
      <c r="CH46" s="151"/>
      <c r="CI46" s="151">
        <f>COUNTIF(CI6:CI40,"NO")</f>
        <v>0</v>
      </c>
      <c r="CJ46" s="151">
        <f>COUNTIF(CJ6:CJ40,"NO")</f>
        <v>0</v>
      </c>
      <c r="CK46" s="151"/>
      <c r="CL46" s="151"/>
      <c r="CM46" s="151">
        <f>COUNTIF(CM6:CM40,"NO")</f>
        <v>0</v>
      </c>
      <c r="CN46" s="151"/>
      <c r="CO46" s="151"/>
      <c r="CP46" s="151"/>
      <c r="CQ46" s="151"/>
      <c r="CR46" s="151"/>
      <c r="CS46" s="151">
        <f>COUNTIF(CS6:CS40,"NO")</f>
        <v>0</v>
      </c>
      <c r="CX46" s="278"/>
      <c r="CY46" s="278"/>
      <c r="CZ46" s="278"/>
      <c r="DA46" s="278"/>
      <c r="DB46" s="278"/>
      <c r="DC46" s="278"/>
      <c r="DD46" s="278"/>
    </row>
    <row r="47" ht="15" spans="3:108">
      <c r="C47" s="152">
        <f>SUM(C45:C46)</f>
        <v>0</v>
      </c>
      <c r="D47" s="152">
        <f>SUM(D45:D46)</f>
        <v>0</v>
      </c>
      <c r="E47" s="152"/>
      <c r="F47" s="152"/>
      <c r="G47" s="152"/>
      <c r="H47" s="152"/>
      <c r="I47" s="152"/>
      <c r="J47" s="152">
        <f>SUM(J45:J46)</f>
        <v>0</v>
      </c>
      <c r="K47" s="152"/>
      <c r="L47" s="152"/>
      <c r="M47" s="152"/>
      <c r="N47" s="152"/>
      <c r="O47" s="152">
        <f>SUM(O45:O46)</f>
        <v>0</v>
      </c>
      <c r="P47" s="152">
        <f>SUM(P45:P46)</f>
        <v>0</v>
      </c>
      <c r="Q47" s="152"/>
      <c r="R47" s="152">
        <f>SUM(R45:R46)</f>
        <v>0</v>
      </c>
      <c r="S47" s="152"/>
      <c r="T47" s="152">
        <f>SUM(T45:T46)</f>
        <v>0</v>
      </c>
      <c r="U47" s="152"/>
      <c r="V47" s="152"/>
      <c r="W47" s="152"/>
      <c r="X47" s="152"/>
      <c r="Y47" s="152"/>
      <c r="Z47" s="152"/>
      <c r="AA47" s="152"/>
      <c r="AB47" s="152">
        <f>SUM(AB45:AB46)</f>
        <v>0</v>
      </c>
      <c r="AC47" s="152">
        <f>SUM(AC45:AC46)</f>
        <v>0</v>
      </c>
      <c r="AD47" s="152">
        <f>SUM(AD45:AD46)</f>
        <v>0</v>
      </c>
      <c r="AE47" s="152"/>
      <c r="AF47" s="152"/>
      <c r="AG47" s="206">
        <f>SUM(AG45:AG46)</f>
        <v>0</v>
      </c>
      <c r="AH47" s="152">
        <f>SUM(AH45:AH46)</f>
        <v>0</v>
      </c>
      <c r="AI47" s="152">
        <f>SUM(AI45:AI46)</f>
        <v>0</v>
      </c>
      <c r="AJ47" s="152"/>
      <c r="AK47" s="152"/>
      <c r="AL47" s="152"/>
      <c r="AM47" s="152"/>
      <c r="AN47" s="152"/>
      <c r="AO47" s="152">
        <f>SUM(AO45:AO46)</f>
        <v>0</v>
      </c>
      <c r="AP47" s="152"/>
      <c r="AQ47" s="152">
        <f>SUM(AQ45:AQ46)</f>
        <v>0</v>
      </c>
      <c r="AR47" s="152">
        <f>SUM(AR45:AR46)</f>
        <v>0</v>
      </c>
      <c r="AS47" s="152"/>
      <c r="AT47" s="152"/>
      <c r="AU47" s="152"/>
      <c r="AV47" s="152"/>
      <c r="AW47" s="152"/>
      <c r="AX47" s="152">
        <f>SUM(AX45:AX46)</f>
        <v>0</v>
      </c>
      <c r="AY47" s="152"/>
      <c r="AZ47" s="152">
        <f>SUM(AZ45:AZ46)</f>
        <v>0</v>
      </c>
      <c r="BA47" s="152">
        <f>SUM(BA45:BA46)</f>
        <v>0</v>
      </c>
      <c r="BB47" s="152"/>
      <c r="BC47" s="152"/>
      <c r="BD47" s="152"/>
      <c r="BE47" s="152"/>
      <c r="BF47" s="152">
        <f>SUM(BF45:BF46)</f>
        <v>0</v>
      </c>
      <c r="BG47" s="152"/>
      <c r="BH47" s="152"/>
      <c r="BI47" s="152"/>
      <c r="BJ47" s="152">
        <f>SUM(BJ45:BJ46)</f>
        <v>0</v>
      </c>
      <c r="BK47" s="152">
        <f>SUM(BK45:BK46)</f>
        <v>0</v>
      </c>
      <c r="BL47" s="152"/>
      <c r="BM47" s="152"/>
      <c r="BN47" s="152"/>
      <c r="BO47" s="152"/>
      <c r="BP47" s="152"/>
      <c r="BQ47" s="206">
        <f>SUM(BQ45:BQ46)</f>
        <v>0</v>
      </c>
      <c r="BR47" s="206"/>
      <c r="BS47" s="152">
        <f>SUM(BS45:BS46)</f>
        <v>0</v>
      </c>
      <c r="BT47" s="152">
        <f>SUM(BT45:BT46)</f>
        <v>0</v>
      </c>
      <c r="BU47" s="152"/>
      <c r="BV47" s="152"/>
      <c r="BW47" s="152">
        <f>SUM(BW45:BW46)</f>
        <v>0</v>
      </c>
      <c r="BX47" s="152">
        <f>SUM(BX45:BX46)</f>
        <v>0</v>
      </c>
      <c r="BY47" s="152">
        <f>SUM(BY45:BY46)</f>
        <v>0</v>
      </c>
      <c r="BZ47" s="152"/>
      <c r="CA47" s="152"/>
      <c r="CB47" s="152"/>
      <c r="CC47" s="152"/>
      <c r="CD47" s="152"/>
      <c r="CE47" s="152"/>
      <c r="CF47" s="152"/>
      <c r="CG47" s="152"/>
      <c r="CH47" s="152"/>
      <c r="CI47" s="152">
        <f>SUM(CI45:CI46)</f>
        <v>0</v>
      </c>
      <c r="CJ47" s="152">
        <f>SUM(CJ45:CJ46)</f>
        <v>0</v>
      </c>
      <c r="CK47" s="152"/>
      <c r="CL47" s="152"/>
      <c r="CM47" s="152">
        <f>SUM(CM45:CM46)</f>
        <v>0</v>
      </c>
      <c r="CN47" s="152"/>
      <c r="CO47" s="152"/>
      <c r="CP47" s="152"/>
      <c r="CQ47" s="152"/>
      <c r="CR47" s="152"/>
      <c r="CS47" s="152">
        <f>SUM(CS45:CS46)</f>
        <v>0</v>
      </c>
      <c r="CX47" s="278"/>
      <c r="CY47" s="278"/>
      <c r="CZ47" s="278"/>
      <c r="DA47" s="278"/>
      <c r="DB47" s="278"/>
      <c r="DC47" s="278"/>
      <c r="DD47" s="278"/>
    </row>
  </sheetData>
  <mergeCells count="18">
    <mergeCell ref="C4:Q4"/>
    <mergeCell ref="R4:BI4"/>
    <mergeCell ref="BW4:DD4"/>
    <mergeCell ref="C5:H5"/>
    <mergeCell ref="J5:P5"/>
    <mergeCell ref="R5:AA5"/>
    <mergeCell ref="AC5:AG5"/>
    <mergeCell ref="AH5:AO5"/>
    <mergeCell ref="AQ5:AX5"/>
    <mergeCell ref="AZ5:BH5"/>
    <mergeCell ref="BJ5:BQ5"/>
    <mergeCell ref="BS5:BW5"/>
    <mergeCell ref="BX5:CH5"/>
    <mergeCell ref="CJ5:CR5"/>
    <mergeCell ref="CT5:CW5"/>
    <mergeCell ref="CX5:DC5"/>
    <mergeCell ref="A5:A6"/>
    <mergeCell ref="B5:B6"/>
  </mergeCells>
  <conditionalFormatting sqref="C7">
    <cfRule type="containsText" dxfId="0" priority="94" operator="between" text="NO">
      <formula>NOT(ISERROR(SEARCH("NO",C7)))</formula>
    </cfRule>
  </conditionalFormatting>
  <conditionalFormatting sqref="AH7">
    <cfRule type="containsText" dxfId="0" priority="123" operator="between" text="NO">
      <formula>NOT(ISERROR(SEARCH("NO",AH7)))</formula>
    </cfRule>
  </conditionalFormatting>
  <conditionalFormatting sqref="AQ7">
    <cfRule type="containsText" dxfId="0" priority="119" operator="between" text="NO">
      <formula>NOT(ISERROR(SEARCH("NO",AQ7)))</formula>
    </cfRule>
  </conditionalFormatting>
  <conditionalFormatting sqref="O23">
    <cfRule type="containsText" dxfId="0" priority="7" operator="between" text="NO">
      <formula>NOT(ISERROR(SEARCH("NO",O23)))</formula>
    </cfRule>
  </conditionalFormatting>
  <conditionalFormatting sqref="Z23">
    <cfRule type="containsText" dxfId="0" priority="13" operator="between" text="NO">
      <formula>NOT(ISERROR(SEARCH("NO",Z23)))</formula>
    </cfRule>
  </conditionalFormatting>
  <conditionalFormatting sqref="AM23">
    <cfRule type="containsText" dxfId="0" priority="16" operator="between" text="NO">
      <formula>NOT(ISERROR(SEARCH("NO",AM23)))</formula>
    </cfRule>
  </conditionalFormatting>
  <conditionalFormatting sqref="BN23">
    <cfRule type="containsText" dxfId="0" priority="10" operator="between" text="NO">
      <formula>NOT(ISERROR(SEARCH("NO",BN23)))</formula>
    </cfRule>
  </conditionalFormatting>
  <conditionalFormatting sqref="CQ23">
    <cfRule type="containsText" dxfId="0" priority="23" operator="between" text="NO">
      <formula>NOT(ISERROR(SEARCH("NO",CQ23)))</formula>
    </cfRule>
  </conditionalFormatting>
  <conditionalFormatting sqref="AQ24">
    <cfRule type="containsText" dxfId="0" priority="75" operator="between" text="NO">
      <formula>NOT(ISERROR(SEARCH("NO",AQ24)))</formula>
    </cfRule>
  </conditionalFormatting>
  <conditionalFormatting sqref="J36:P36">
    <cfRule type="containsText" dxfId="0" priority="69" operator="between" text="NO">
      <formula>NOT(ISERROR(SEARCH("NO",J36)))</formula>
    </cfRule>
  </conditionalFormatting>
  <conditionalFormatting sqref="AH36:AO36">
    <cfRule type="containsText" dxfId="0" priority="68" operator="between" text="NO">
      <formula>NOT(ISERROR(SEARCH("NO",AH36)))</formula>
    </cfRule>
  </conditionalFormatting>
  <conditionalFormatting sqref="AQ36:AX36">
    <cfRule type="containsText" dxfId="0" priority="66" operator="between" text="NO">
      <formula>NOT(ISERROR(SEARCH("NO",AQ36)))</formula>
    </cfRule>
  </conditionalFormatting>
  <conditionalFormatting sqref="AZ36:BH36">
    <cfRule type="containsText" dxfId="0" priority="64" operator="between" text="NO">
      <formula>NOT(ISERROR(SEARCH("NO",AZ36)))</formula>
    </cfRule>
  </conditionalFormatting>
  <conditionalFormatting sqref="BJ36:BQ36">
    <cfRule type="containsText" dxfId="0" priority="63" operator="between" text="NO">
      <formula>NOT(ISERROR(SEARCH("NO",BJ36)))</formula>
    </cfRule>
  </conditionalFormatting>
  <conditionalFormatting sqref="C37">
    <cfRule type="containsText" dxfId="0" priority="124" operator="between" text="NO">
      <formula>NOT(ISERROR(SEARCH("NO",C37)))</formula>
    </cfRule>
  </conditionalFormatting>
  <conditionalFormatting sqref="C22:C35">
    <cfRule type="containsText" dxfId="0" priority="80" operator="between" text="NO">
      <formula>NOT(ISERROR(SEARCH("NO",C22)))</formula>
    </cfRule>
  </conditionalFormatting>
  <conditionalFormatting sqref="I23:I36">
    <cfRule type="containsText" dxfId="0" priority="51" operator="between" text="NO">
      <formula>NOT(ISERROR(SEARCH("NO",I23)))</formula>
    </cfRule>
  </conditionalFormatting>
  <conditionalFormatting sqref="AL7:AL23">
    <cfRule type="containsText" dxfId="0" priority="21" operator="between" text="NO">
      <formula>NOT(ISERROR(SEARCH("NO",AL7)))</formula>
    </cfRule>
  </conditionalFormatting>
  <conditionalFormatting sqref="AP7:AP36">
    <cfRule type="containsText" dxfId="0" priority="2" operator="between" text="NO">
      <formula>NOT(ISERROR(SEARCH("NO",AP7)))</formula>
    </cfRule>
  </conditionalFormatting>
  <conditionalFormatting sqref="AW7:AW8">
    <cfRule type="containsText" dxfId="0" priority="3" operator="between" text="NO">
      <formula>NOT(ISERROR(SEARCH("NO",AW7)))</formula>
    </cfRule>
  </conditionalFormatting>
  <conditionalFormatting sqref="AX7:AX24">
    <cfRule type="containsText" dxfId="0" priority="86" operator="between" text="NO">
      <formula>NOT(ISERROR(SEARCH("NO",AX7)))</formula>
    </cfRule>
  </conditionalFormatting>
  <conditionalFormatting sqref="AY7:AY17">
    <cfRule type="containsText" dxfId="0" priority="106" operator="between" text="NO">
      <formula>NOT(ISERROR(SEARCH("NO",AY7)))</formula>
    </cfRule>
  </conditionalFormatting>
  <conditionalFormatting sqref="AY20:AY36">
    <cfRule type="containsText" dxfId="0" priority="49" operator="between" text="NO">
      <formula>NOT(ISERROR(SEARCH("NO",AY20)))</formula>
    </cfRule>
  </conditionalFormatting>
  <conditionalFormatting sqref="BI7:BI17">
    <cfRule type="containsText" dxfId="0" priority="105" operator="between" text="NO">
      <formula>NOT(ISERROR(SEARCH("NO",BI7)))</formula>
    </cfRule>
  </conditionalFormatting>
  <conditionalFormatting sqref="BI20:BI36">
    <cfRule type="containsText" dxfId="0" priority="28" operator="between" text="NO">
      <formula>NOT(ISERROR(SEARCH("NO",BI20)))</formula>
    </cfRule>
  </conditionalFormatting>
  <conditionalFormatting sqref="BJ7:BJ22">
    <cfRule type="containsText" dxfId="0" priority="113" operator="between" text="NO">
      <formula>NOT(ISERROR(SEARCH("NO",BJ7)))</formula>
    </cfRule>
  </conditionalFormatting>
  <conditionalFormatting sqref="BJ24:BJ35">
    <cfRule type="containsText" dxfId="0" priority="112" operator="between" text="NO">
      <formula>NOT(ISERROR(SEARCH("NO",BJ24)))</formula>
    </cfRule>
  </conditionalFormatting>
  <conditionalFormatting sqref="BK7:BK22">
    <cfRule type="containsText" dxfId="0" priority="1" operator="between" text="NO">
      <formula>NOT(ISERROR(SEARCH("NO",BK7)))</formula>
    </cfRule>
  </conditionalFormatting>
  <conditionalFormatting sqref="BO7:BO23">
    <cfRule type="containsText" dxfId="0" priority="26" operator="between" text="NO">
      <formula>NOT(ISERROR(SEARCH("NO",BO7)))</formula>
    </cfRule>
  </conditionalFormatting>
  <conditionalFormatting sqref="BR7:BR17">
    <cfRule type="containsText" dxfId="0" priority="104" operator="between" text="NO">
      <formula>NOT(ISERROR(SEARCH("NO",BR7)))</formula>
    </cfRule>
  </conditionalFormatting>
  <conditionalFormatting sqref="BR20:BR36">
    <cfRule type="containsText" dxfId="0" priority="47" operator="between" text="NO">
      <formula>NOT(ISERROR(SEARCH("NO",BR20)))</formula>
    </cfRule>
  </conditionalFormatting>
  <conditionalFormatting sqref="CE7:CE23">
    <cfRule type="containsText" dxfId="0" priority="5" operator="between" text="NO">
      <formula>NOT(ISERROR(SEARCH("NO",CE7)))</formula>
    </cfRule>
  </conditionalFormatting>
  <conditionalFormatting sqref="CI7:CI17">
    <cfRule type="containsText" dxfId="0" priority="103" operator="between" text="NO">
      <formula>NOT(ISERROR(SEARCH("NO",CI7)))</formula>
    </cfRule>
  </conditionalFormatting>
  <conditionalFormatting sqref="CI20:CI36">
    <cfRule type="containsText" dxfId="0" priority="46" operator="between" text="NO">
      <formula>NOT(ISERROR(SEARCH("NO",CI20)))</formula>
    </cfRule>
  </conditionalFormatting>
  <conditionalFormatting sqref="CS7:CS17">
    <cfRule type="containsText" dxfId="0" priority="102" operator="between" text="NO">
      <formula>NOT(ISERROR(SEARCH("NO",CS7)))</formula>
    </cfRule>
  </conditionalFormatting>
  <conditionalFormatting sqref="CS20:CS36">
    <cfRule type="containsText" dxfId="0" priority="44" operator="between" text="NO">
      <formula>NOT(ISERROR(SEARCH("NO",CS20)))</formula>
    </cfRule>
  </conditionalFormatting>
  <conditionalFormatting sqref="X7:Y8">
    <cfRule type="containsText" dxfId="0" priority="19" operator="between" text="NO">
      <formula>NOT(ISERROR(SEARCH("NO",X7)))</formula>
    </cfRule>
  </conditionalFormatting>
  <conditionalFormatting sqref="O26:P35">
    <cfRule type="containsText" dxfId="0" priority="90" operator="between" text="NO">
      <formula>NOT(ISERROR(SEARCH("NO",O26)))</formula>
    </cfRule>
  </conditionalFormatting>
  <conditionalFormatting sqref="AI26:AO35">
    <cfRule type="containsText" dxfId="0" priority="87" operator="between" text="NO">
      <formula>NOT(ISERROR(SEARCH("NO",AI26)))</formula>
    </cfRule>
  </conditionalFormatting>
  <conditionalFormatting sqref="BA26:BH35">
    <cfRule type="containsText" dxfId="0" priority="85" operator="between" text="NO">
      <formula>NOT(ISERROR(SEARCH("NO",BA26)))</formula>
    </cfRule>
  </conditionalFormatting>
  <conditionalFormatting sqref="CT28:CW34">
    <cfRule type="containsText" dxfId="0" priority="247" operator="between" text="NO">
      <formula>NOT(ISERROR(SEARCH("NO",CT28)))</formula>
    </cfRule>
  </conditionalFormatting>
  <conditionalFormatting sqref="CX29:DD42">
    <cfRule type="containsText" dxfId="0" priority="246" operator="between" text="NO">
      <formula>NOT(ISERROR(SEARCH("NO",CX29)))</formula>
    </cfRule>
  </conditionalFormatting>
  <conditionalFormatting sqref="AI38:AU40">
    <cfRule type="containsText" dxfId="0" priority="53" operator="between" text="NO">
      <formula>NOT(ISERROR(SEARCH("NO",AI38)))</formula>
    </cfRule>
  </conditionalFormatting>
  <printOptions horizontalCentered="1"/>
  <pageMargins left="0.31496062992126" right="0.31496062992126" top="0.551181102362205" bottom="0.551181102362205" header="0.31496062992126" footer="0.31496062992126"/>
  <pageSetup paperSize="9" orientation="landscape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49"/>
  <sheetViews>
    <sheetView zoomScale="130" zoomScaleNormal="130" topLeftCell="AU1" workbookViewId="0">
      <selection activeCell="AJ3" sqref="AJ3:AJ10"/>
    </sheetView>
  </sheetViews>
  <sheetFormatPr defaultColWidth="10.752380952381" defaultRowHeight="15"/>
  <cols>
    <col min="1" max="1" width="2.75238095238095" customWidth="1"/>
    <col min="2" max="3" width="13.752380952381" customWidth="1"/>
    <col min="4" max="4" width="8" customWidth="1"/>
    <col min="5" max="8" width="4.75238095238095" style="6" customWidth="1"/>
    <col min="9" max="9" width="3.75238095238095" customWidth="1"/>
    <col min="10" max="13" width="4.75238095238095" style="6" customWidth="1"/>
    <col min="14" max="14" width="3.75238095238095" customWidth="1"/>
    <col min="15" max="15" width="5.75238095238095" customWidth="1"/>
    <col min="16" max="16" width="6.37142857142857" customWidth="1"/>
    <col min="17" max="17" width="4.75238095238095" customWidth="1"/>
    <col min="18" max="18" width="3.75238095238095" customWidth="1"/>
    <col min="19" max="21" width="4.24761904761905" customWidth="1"/>
    <col min="22" max="22" width="3.75238095238095" customWidth="1"/>
    <col min="23" max="23" width="1.87619047619048" customWidth="1"/>
    <col min="24" max="24" width="5.37142857142857" customWidth="1"/>
    <col min="25" max="25" width="4.75238095238095" customWidth="1"/>
    <col min="26" max="27" width="4.37142857142857" customWidth="1"/>
    <col min="28" max="28" width="3.87619047619048" customWidth="1"/>
    <col min="29" max="29" width="5.12380952380952" customWidth="1"/>
    <col min="30" max="30" width="4.12380952380952" customWidth="1"/>
    <col min="31" max="31" width="4.37142857142857" customWidth="1"/>
    <col min="32" max="32" width="3.87619047619048" customWidth="1"/>
    <col min="33" max="33" width="1.12380952380952" customWidth="1"/>
    <col min="34" max="37" width="3.12380952380952" customWidth="1"/>
    <col min="38" max="38" width="1.24761904761905" customWidth="1"/>
    <col min="39" max="40" width="3.12380952380952" customWidth="1"/>
    <col min="41" max="41" width="1.12380952380952" customWidth="1"/>
    <col min="42" max="42" width="4" customWidth="1"/>
    <col min="44" max="55" width="10.752380952381" customWidth="1"/>
  </cols>
  <sheetData>
    <row r="1" ht="23.25" spans="1:42">
      <c r="A1" s="7" t="s">
        <v>245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99"/>
      <c r="AP1" s="7"/>
    </row>
    <row r="2" ht="16.5" customHeight="1" spans="1:42">
      <c r="A2" s="8" t="s">
        <v>119</v>
      </c>
      <c r="B2" s="9"/>
      <c r="C2" s="10" t="s">
        <v>120</v>
      </c>
      <c r="D2" s="10"/>
      <c r="E2" s="11" t="s">
        <v>121</v>
      </c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78"/>
      <c r="AG2" s="83"/>
      <c r="AH2" s="84" t="s">
        <v>122</v>
      </c>
      <c r="AI2" s="84"/>
      <c r="AJ2" s="84"/>
      <c r="AK2" s="84"/>
      <c r="AL2" s="84"/>
      <c r="AM2" s="84"/>
      <c r="AN2" s="85"/>
      <c r="AO2" s="100"/>
      <c r="AP2" s="101" t="s">
        <v>123</v>
      </c>
    </row>
    <row r="3" ht="40.5" customHeight="1" spans="1:44">
      <c r="A3" s="8"/>
      <c r="B3" s="13"/>
      <c r="C3" s="14" t="s">
        <v>124</v>
      </c>
      <c r="D3" s="14"/>
      <c r="E3" s="48" t="s">
        <v>125</v>
      </c>
      <c r="F3" s="17"/>
      <c r="G3" s="17"/>
      <c r="H3" s="17"/>
      <c r="I3" s="47"/>
      <c r="J3" s="48" t="s">
        <v>126</v>
      </c>
      <c r="K3" s="17"/>
      <c r="L3" s="17"/>
      <c r="M3" s="17"/>
      <c r="N3" s="47"/>
      <c r="O3" s="48" t="s">
        <v>127</v>
      </c>
      <c r="P3" s="17"/>
      <c r="Q3" s="17"/>
      <c r="R3" s="47"/>
      <c r="S3" s="48" t="s">
        <v>128</v>
      </c>
      <c r="T3" s="17"/>
      <c r="U3" s="17"/>
      <c r="V3" s="47"/>
      <c r="W3" s="71"/>
      <c r="X3" s="48" t="s">
        <v>129</v>
      </c>
      <c r="Y3" s="17"/>
      <c r="Z3" s="17"/>
      <c r="AA3" s="17"/>
      <c r="AB3" s="47"/>
      <c r="AC3" s="48" t="s">
        <v>130</v>
      </c>
      <c r="AD3" s="17"/>
      <c r="AE3" s="17"/>
      <c r="AF3" s="47"/>
      <c r="AG3" s="86"/>
      <c r="AH3" s="87" t="s">
        <v>131</v>
      </c>
      <c r="AI3" s="87" t="s">
        <v>132</v>
      </c>
      <c r="AJ3" s="87" t="s">
        <v>133</v>
      </c>
      <c r="AK3" s="87" t="s">
        <v>134</v>
      </c>
      <c r="AL3" s="88"/>
      <c r="AM3" s="87" t="s">
        <v>135</v>
      </c>
      <c r="AN3" s="89" t="s">
        <v>136</v>
      </c>
      <c r="AO3" s="102"/>
      <c r="AP3" s="101"/>
      <c r="AR3" s="103" t="s">
        <v>137</v>
      </c>
    </row>
    <row r="4" ht="21.95" customHeight="1" spans="1:42">
      <c r="A4" s="8"/>
      <c r="B4" s="18" t="s">
        <v>138</v>
      </c>
      <c r="C4" s="18"/>
      <c r="D4" s="18"/>
      <c r="E4" s="51" t="s">
        <v>139</v>
      </c>
      <c r="F4" s="51" t="s">
        <v>140</v>
      </c>
      <c r="G4" s="51" t="s">
        <v>141</v>
      </c>
      <c r="H4" s="52"/>
      <c r="I4" s="49" t="s">
        <v>142</v>
      </c>
      <c r="J4" s="50" t="s">
        <v>246</v>
      </c>
      <c r="K4" s="51" t="s">
        <v>247</v>
      </c>
      <c r="L4" s="52" t="s">
        <v>248</v>
      </c>
      <c r="M4" s="52"/>
      <c r="N4" s="49" t="s">
        <v>146</v>
      </c>
      <c r="O4" s="50" t="s">
        <v>147</v>
      </c>
      <c r="P4" s="51" t="s">
        <v>249</v>
      </c>
      <c r="Q4" s="52"/>
      <c r="R4" s="49" t="s">
        <v>149</v>
      </c>
      <c r="S4" s="50" t="s">
        <v>150</v>
      </c>
      <c r="T4" s="51" t="s">
        <v>151</v>
      </c>
      <c r="U4" s="52"/>
      <c r="V4" s="49" t="s">
        <v>152</v>
      </c>
      <c r="W4" s="72"/>
      <c r="X4" s="245" t="s">
        <v>153</v>
      </c>
      <c r="Y4" s="245" t="s">
        <v>154</v>
      </c>
      <c r="Z4" s="245" t="s">
        <v>155</v>
      </c>
      <c r="AA4" s="248" t="s">
        <v>156</v>
      </c>
      <c r="AB4" s="49" t="s">
        <v>157</v>
      </c>
      <c r="AC4" s="249" t="s">
        <v>158</v>
      </c>
      <c r="AD4" s="245" t="s">
        <v>159</v>
      </c>
      <c r="AE4" s="248" t="s">
        <v>160</v>
      </c>
      <c r="AF4" s="49" t="s">
        <v>161</v>
      </c>
      <c r="AG4" s="90"/>
      <c r="AH4" s="87"/>
      <c r="AI4" s="87"/>
      <c r="AJ4" s="87"/>
      <c r="AK4" s="87"/>
      <c r="AL4" s="91"/>
      <c r="AM4" s="87"/>
      <c r="AN4" s="89"/>
      <c r="AO4" s="102"/>
      <c r="AP4" s="101"/>
    </row>
    <row r="5" ht="21.95" customHeight="1" spans="1:42">
      <c r="A5" s="8"/>
      <c r="B5" s="22" t="s">
        <v>250</v>
      </c>
      <c r="C5" s="22"/>
      <c r="D5" s="22"/>
      <c r="E5" s="55"/>
      <c r="F5" s="55"/>
      <c r="G5" s="55"/>
      <c r="H5" s="56"/>
      <c r="I5" s="53"/>
      <c r="J5" s="54"/>
      <c r="K5" s="55"/>
      <c r="L5" s="56"/>
      <c r="M5" s="56"/>
      <c r="N5" s="53"/>
      <c r="O5" s="54"/>
      <c r="P5" s="55"/>
      <c r="Q5" s="56"/>
      <c r="R5" s="53"/>
      <c r="S5" s="54"/>
      <c r="T5" s="55"/>
      <c r="U5" s="56"/>
      <c r="V5" s="53"/>
      <c r="W5" s="73"/>
      <c r="X5" s="246"/>
      <c r="Y5" s="246"/>
      <c r="Z5" s="246"/>
      <c r="AA5" s="250"/>
      <c r="AB5" s="53"/>
      <c r="AC5" s="251"/>
      <c r="AD5" s="246"/>
      <c r="AE5" s="250"/>
      <c r="AF5" s="53"/>
      <c r="AG5" s="90"/>
      <c r="AH5" s="87"/>
      <c r="AI5" s="87"/>
      <c r="AJ5" s="87"/>
      <c r="AK5" s="87"/>
      <c r="AL5" s="91"/>
      <c r="AM5" s="87"/>
      <c r="AN5" s="89"/>
      <c r="AO5" s="102"/>
      <c r="AP5" s="101"/>
    </row>
    <row r="6" ht="17.25" customHeight="1" spans="1:42">
      <c r="A6" s="8"/>
      <c r="B6" s="22" t="s">
        <v>163</v>
      </c>
      <c r="C6" s="22"/>
      <c r="D6" s="22"/>
      <c r="E6" s="55"/>
      <c r="F6" s="55"/>
      <c r="G6" s="55"/>
      <c r="H6" s="56"/>
      <c r="I6" s="53"/>
      <c r="J6" s="54"/>
      <c r="K6" s="55"/>
      <c r="L6" s="56"/>
      <c r="M6" s="56"/>
      <c r="N6" s="53"/>
      <c r="O6" s="54"/>
      <c r="P6" s="55"/>
      <c r="Q6" s="56"/>
      <c r="R6" s="53"/>
      <c r="S6" s="54"/>
      <c r="T6" s="55"/>
      <c r="U6" s="56"/>
      <c r="V6" s="53"/>
      <c r="W6" s="73"/>
      <c r="X6" s="246"/>
      <c r="Y6" s="246"/>
      <c r="Z6" s="246"/>
      <c r="AA6" s="250"/>
      <c r="AB6" s="53"/>
      <c r="AC6" s="251"/>
      <c r="AD6" s="246"/>
      <c r="AE6" s="250"/>
      <c r="AF6" s="53"/>
      <c r="AG6" s="90"/>
      <c r="AH6" s="87"/>
      <c r="AI6" s="87"/>
      <c r="AJ6" s="87"/>
      <c r="AK6" s="87"/>
      <c r="AL6" s="91"/>
      <c r="AM6" s="87"/>
      <c r="AN6" s="89"/>
      <c r="AO6" s="102"/>
      <c r="AP6" s="101"/>
    </row>
    <row r="7" ht="18.75" customHeight="1" spans="1:42">
      <c r="A7" s="8"/>
      <c r="B7" s="22" t="s">
        <v>164</v>
      </c>
      <c r="C7" s="22"/>
      <c r="D7" s="22"/>
      <c r="E7" s="55"/>
      <c r="F7" s="55"/>
      <c r="G7" s="55"/>
      <c r="H7" s="56"/>
      <c r="I7" s="53"/>
      <c r="J7" s="54"/>
      <c r="K7" s="55"/>
      <c r="L7" s="56"/>
      <c r="M7" s="56"/>
      <c r="N7" s="53"/>
      <c r="O7" s="54"/>
      <c r="P7" s="55"/>
      <c r="Q7" s="56"/>
      <c r="R7" s="53"/>
      <c r="S7" s="54"/>
      <c r="T7" s="55"/>
      <c r="U7" s="56"/>
      <c r="V7" s="53"/>
      <c r="W7" s="73"/>
      <c r="X7" s="246"/>
      <c r="Y7" s="246"/>
      <c r="Z7" s="246"/>
      <c r="AA7" s="250"/>
      <c r="AB7" s="53"/>
      <c r="AC7" s="251"/>
      <c r="AD7" s="246"/>
      <c r="AE7" s="250"/>
      <c r="AF7" s="53"/>
      <c r="AG7" s="90"/>
      <c r="AH7" s="87"/>
      <c r="AI7" s="87"/>
      <c r="AJ7" s="87"/>
      <c r="AK7" s="87"/>
      <c r="AL7" s="91"/>
      <c r="AM7" s="87"/>
      <c r="AN7" s="89"/>
      <c r="AO7" s="102"/>
      <c r="AP7" s="101"/>
    </row>
    <row r="8" ht="20.25" customHeight="1" spans="1:42">
      <c r="A8" s="8"/>
      <c r="B8" s="25" t="s">
        <v>165</v>
      </c>
      <c r="C8" s="25"/>
      <c r="D8" s="25"/>
      <c r="E8" s="55"/>
      <c r="F8" s="55"/>
      <c r="G8" s="55"/>
      <c r="H8" s="56"/>
      <c r="I8" s="53"/>
      <c r="J8" s="54"/>
      <c r="K8" s="55"/>
      <c r="L8" s="56"/>
      <c r="M8" s="56"/>
      <c r="N8" s="53"/>
      <c r="O8" s="54"/>
      <c r="P8" s="55"/>
      <c r="Q8" s="56"/>
      <c r="R8" s="53"/>
      <c r="S8" s="54"/>
      <c r="T8" s="55"/>
      <c r="U8" s="56"/>
      <c r="V8" s="53"/>
      <c r="W8" s="73"/>
      <c r="X8" s="246"/>
      <c r="Y8" s="246"/>
      <c r="Z8" s="246"/>
      <c r="AA8" s="250"/>
      <c r="AB8" s="53"/>
      <c r="AC8" s="251"/>
      <c r="AD8" s="246"/>
      <c r="AE8" s="250"/>
      <c r="AF8" s="53"/>
      <c r="AG8" s="90"/>
      <c r="AH8" s="87"/>
      <c r="AI8" s="87"/>
      <c r="AJ8" s="87"/>
      <c r="AK8" s="87"/>
      <c r="AL8" s="91"/>
      <c r="AM8" s="87"/>
      <c r="AN8" s="89"/>
      <c r="AO8" s="102"/>
      <c r="AP8" s="101"/>
    </row>
    <row r="9" ht="11.25" customHeight="1" spans="1:42">
      <c r="A9" s="8"/>
      <c r="B9" s="27" t="s">
        <v>67</v>
      </c>
      <c r="C9" s="27"/>
      <c r="D9" s="27"/>
      <c r="E9" s="55"/>
      <c r="F9" s="55"/>
      <c r="G9" s="55"/>
      <c r="H9" s="56"/>
      <c r="I9" s="53"/>
      <c r="J9" s="54"/>
      <c r="K9" s="55"/>
      <c r="L9" s="56"/>
      <c r="M9" s="56"/>
      <c r="N9" s="53"/>
      <c r="O9" s="54"/>
      <c r="P9" s="55"/>
      <c r="Q9" s="56"/>
      <c r="R9" s="53"/>
      <c r="S9" s="54"/>
      <c r="T9" s="55"/>
      <c r="U9" s="56"/>
      <c r="V9" s="53"/>
      <c r="W9" s="73"/>
      <c r="X9" s="246"/>
      <c r="Y9" s="246"/>
      <c r="Z9" s="246"/>
      <c r="AA9" s="250"/>
      <c r="AB9" s="53"/>
      <c r="AC9" s="251"/>
      <c r="AD9" s="246"/>
      <c r="AE9" s="250"/>
      <c r="AF9" s="53"/>
      <c r="AG9" s="90"/>
      <c r="AH9" s="87"/>
      <c r="AI9" s="87"/>
      <c r="AJ9" s="87"/>
      <c r="AK9" s="87"/>
      <c r="AL9" s="91"/>
      <c r="AM9" s="87"/>
      <c r="AN9" s="89"/>
      <c r="AO9" s="102"/>
      <c r="AP9" s="101"/>
    </row>
    <row r="10" spans="1:42">
      <c r="A10" s="8"/>
      <c r="B10" s="240"/>
      <c r="C10" s="240"/>
      <c r="D10" s="240"/>
      <c r="E10" s="58"/>
      <c r="F10" s="58"/>
      <c r="G10" s="58"/>
      <c r="H10" s="59"/>
      <c r="I10" s="243"/>
      <c r="J10" s="57"/>
      <c r="K10" s="58"/>
      <c r="L10" s="59"/>
      <c r="M10" s="59"/>
      <c r="N10" s="243"/>
      <c r="O10" s="57"/>
      <c r="P10" s="58"/>
      <c r="Q10" s="59"/>
      <c r="R10" s="243"/>
      <c r="S10" s="57"/>
      <c r="T10" s="58"/>
      <c r="U10" s="59"/>
      <c r="V10" s="243"/>
      <c r="W10" s="74"/>
      <c r="X10" s="247"/>
      <c r="Y10" s="247"/>
      <c r="Z10" s="247"/>
      <c r="AA10" s="252"/>
      <c r="AB10" s="243"/>
      <c r="AC10" s="253"/>
      <c r="AD10" s="247"/>
      <c r="AE10" s="252"/>
      <c r="AF10" s="243"/>
      <c r="AG10" s="90"/>
      <c r="AH10" s="87"/>
      <c r="AI10" s="87"/>
      <c r="AJ10" s="87"/>
      <c r="AK10" s="87"/>
      <c r="AL10" s="91"/>
      <c r="AM10" s="87"/>
      <c r="AN10" s="89"/>
      <c r="AO10" s="102"/>
      <c r="AP10" s="101"/>
    </row>
    <row r="11" ht="12.75" customHeight="1" spans="1:42">
      <c r="A11" s="31" t="s">
        <v>166</v>
      </c>
      <c r="B11" s="241" t="str">
        <f>'5TO-I'!B7</f>
        <v>CALDERON FALCON DORIAM JOSUE</v>
      </c>
      <c r="C11" s="241"/>
      <c r="D11" s="241"/>
      <c r="E11" s="66" t="s">
        <v>101</v>
      </c>
      <c r="F11" s="66" t="s">
        <v>100</v>
      </c>
      <c r="G11" s="66" t="s">
        <v>101</v>
      </c>
      <c r="H11" s="46"/>
      <c r="I11" s="61" t="s">
        <v>101</v>
      </c>
      <c r="J11" s="66" t="s">
        <v>101</v>
      </c>
      <c r="K11" s="66" t="s">
        <v>101</v>
      </c>
      <c r="L11" s="66" t="s">
        <v>100</v>
      </c>
      <c r="M11" s="46"/>
      <c r="N11" s="61" t="s">
        <v>101</v>
      </c>
      <c r="O11" s="66" t="s">
        <v>100</v>
      </c>
      <c r="P11" s="66" t="str">
        <f>N11</f>
        <v>A</v>
      </c>
      <c r="Q11" s="46"/>
      <c r="R11" s="61" t="s">
        <v>101</v>
      </c>
      <c r="S11" s="66" t="s">
        <v>101</v>
      </c>
      <c r="T11" s="66" t="s">
        <v>100</v>
      </c>
      <c r="U11" s="46"/>
      <c r="V11" s="61" t="s">
        <v>100</v>
      </c>
      <c r="W11" s="74"/>
      <c r="X11" s="66" t="s">
        <v>101</v>
      </c>
      <c r="Y11" s="66" t="s">
        <v>101</v>
      </c>
      <c r="Z11" s="66" t="s">
        <v>102</v>
      </c>
      <c r="AA11" s="66" t="s">
        <v>102</v>
      </c>
      <c r="AB11" s="68" t="s">
        <v>101</v>
      </c>
      <c r="AC11" s="66" t="s">
        <v>102</v>
      </c>
      <c r="AD11" s="66" t="s">
        <v>102</v>
      </c>
      <c r="AE11" s="66" t="s">
        <v>102</v>
      </c>
      <c r="AF11" s="68" t="s">
        <v>102</v>
      </c>
      <c r="AG11" s="90"/>
      <c r="AH11" s="45" t="str">
        <f>I11</f>
        <v>A</v>
      </c>
      <c r="AI11" s="45" t="str">
        <f>N11</f>
        <v>A</v>
      </c>
      <c r="AJ11" s="45" t="str">
        <f>R11</f>
        <v>A</v>
      </c>
      <c r="AK11" s="45" t="str">
        <f>V11</f>
        <v>AD</v>
      </c>
      <c r="AL11" s="91"/>
      <c r="AM11" s="45" t="str">
        <f>AB11</f>
        <v>A</v>
      </c>
      <c r="AN11" s="46" t="str">
        <f>AF11</f>
        <v>B</v>
      </c>
      <c r="AO11" s="102"/>
      <c r="AP11" s="104" t="s">
        <v>101</v>
      </c>
    </row>
    <row r="12" ht="12.75" customHeight="1" spans="1:55">
      <c r="A12" s="31" t="s">
        <v>167</v>
      </c>
      <c r="B12" s="241" t="str">
        <f>'5TO-I'!B8</f>
        <v>CAMPOS PALOMINO MAXIMO NASSIR</v>
      </c>
      <c r="C12" s="241"/>
      <c r="D12" s="241"/>
      <c r="E12" s="66" t="s">
        <v>101</v>
      </c>
      <c r="F12" s="66" t="s">
        <v>102</v>
      </c>
      <c r="G12" s="66" t="s">
        <v>102</v>
      </c>
      <c r="H12" s="46"/>
      <c r="I12" s="61" t="s">
        <v>102</v>
      </c>
      <c r="J12" s="66" t="s">
        <v>102</v>
      </c>
      <c r="K12" s="66" t="s">
        <v>105</v>
      </c>
      <c r="L12" s="66" t="s">
        <v>102</v>
      </c>
      <c r="M12" s="46"/>
      <c r="N12" s="61" t="s">
        <v>102</v>
      </c>
      <c r="O12" s="66" t="s">
        <v>101</v>
      </c>
      <c r="P12" s="66" t="str">
        <f t="shared" ref="P12:P45" si="0">N12</f>
        <v>B</v>
      </c>
      <c r="Q12" s="46"/>
      <c r="R12" s="61" t="s">
        <v>101</v>
      </c>
      <c r="S12" s="66" t="s">
        <v>102</v>
      </c>
      <c r="T12" s="66" t="s">
        <v>102</v>
      </c>
      <c r="U12" s="46"/>
      <c r="V12" s="61" t="s">
        <v>102</v>
      </c>
      <c r="W12" s="74"/>
      <c r="X12" s="66" t="s">
        <v>102</v>
      </c>
      <c r="Y12" s="66" t="s">
        <v>102</v>
      </c>
      <c r="Z12" s="66" t="s">
        <v>102</v>
      </c>
      <c r="AA12" s="66" t="s">
        <v>102</v>
      </c>
      <c r="AB12" s="68" t="s">
        <v>102</v>
      </c>
      <c r="AC12" s="66" t="s">
        <v>102</v>
      </c>
      <c r="AD12" s="66" t="s">
        <v>102</v>
      </c>
      <c r="AE12" s="66" t="s">
        <v>102</v>
      </c>
      <c r="AF12" s="68" t="s">
        <v>102</v>
      </c>
      <c r="AG12" s="90"/>
      <c r="AH12" s="45" t="str">
        <f t="shared" ref="AH12:AH26" si="1">I12</f>
        <v>B</v>
      </c>
      <c r="AI12" s="45" t="str">
        <f t="shared" ref="AI12:AI26" si="2">N12</f>
        <v>B</v>
      </c>
      <c r="AJ12" s="45" t="str">
        <f t="shared" ref="AJ12:AJ26" si="3">R12</f>
        <v>A</v>
      </c>
      <c r="AK12" s="45" t="str">
        <f t="shared" ref="AK12:AK26" si="4">V12</f>
        <v>B</v>
      </c>
      <c r="AL12" s="91"/>
      <c r="AM12" s="45" t="str">
        <f t="shared" ref="AM12:AM26" si="5">AB12</f>
        <v>B</v>
      </c>
      <c r="AN12" s="46" t="str">
        <f t="shared" ref="AN12:AN26" si="6">AF12</f>
        <v>B</v>
      </c>
      <c r="AO12" s="102"/>
      <c r="AP12" s="104" t="s">
        <v>102</v>
      </c>
      <c r="AS12" s="105" t="s">
        <v>168</v>
      </c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</row>
    <row r="13" ht="12.75" customHeight="1" spans="1:52">
      <c r="A13" s="39" t="s">
        <v>169</v>
      </c>
      <c r="B13" s="241" t="str">
        <f>'5TO-I'!B9</f>
        <v>CHUQUIZUTA VALENCIA FRANKLIN YAZID</v>
      </c>
      <c r="C13" s="241"/>
      <c r="D13" s="241"/>
      <c r="E13" s="66" t="s">
        <v>101</v>
      </c>
      <c r="F13" s="66" t="s">
        <v>105</v>
      </c>
      <c r="G13" s="66" t="s">
        <v>102</v>
      </c>
      <c r="H13" s="46"/>
      <c r="I13" s="61" t="s">
        <v>102</v>
      </c>
      <c r="J13" s="66" t="s">
        <v>102</v>
      </c>
      <c r="K13" s="66" t="s">
        <v>105</v>
      </c>
      <c r="L13" s="66" t="s">
        <v>102</v>
      </c>
      <c r="M13" s="46"/>
      <c r="N13" s="61" t="s">
        <v>102</v>
      </c>
      <c r="O13" s="66" t="s">
        <v>102</v>
      </c>
      <c r="P13" s="66" t="str">
        <f t="shared" si="0"/>
        <v>B</v>
      </c>
      <c r="Q13" s="46"/>
      <c r="R13" s="61" t="s">
        <v>102</v>
      </c>
      <c r="S13" s="66" t="s">
        <v>102</v>
      </c>
      <c r="T13" s="66" t="s">
        <v>102</v>
      </c>
      <c r="U13" s="46"/>
      <c r="V13" s="61" t="s">
        <v>102</v>
      </c>
      <c r="W13" s="74"/>
      <c r="X13" s="66" t="s">
        <v>102</v>
      </c>
      <c r="Y13" s="66" t="s">
        <v>102</v>
      </c>
      <c r="Z13" s="66" t="s">
        <v>102</v>
      </c>
      <c r="AA13" s="66" t="s">
        <v>102</v>
      </c>
      <c r="AB13" s="68" t="s">
        <v>102</v>
      </c>
      <c r="AC13" s="66" t="s">
        <v>102</v>
      </c>
      <c r="AD13" s="66" t="s">
        <v>102</v>
      </c>
      <c r="AE13" s="66" t="s">
        <v>102</v>
      </c>
      <c r="AF13" s="68" t="s">
        <v>102</v>
      </c>
      <c r="AG13" s="90"/>
      <c r="AH13" s="45" t="str">
        <f t="shared" si="1"/>
        <v>B</v>
      </c>
      <c r="AI13" s="45" t="str">
        <f t="shared" si="2"/>
        <v>B</v>
      </c>
      <c r="AJ13" s="45" t="str">
        <f t="shared" si="3"/>
        <v>B</v>
      </c>
      <c r="AK13" s="45" t="str">
        <f t="shared" si="4"/>
        <v>B</v>
      </c>
      <c r="AL13" s="91"/>
      <c r="AM13" s="45" t="str">
        <f t="shared" si="5"/>
        <v>B</v>
      </c>
      <c r="AN13" s="46" t="str">
        <f t="shared" si="6"/>
        <v>B</v>
      </c>
      <c r="AO13" s="102"/>
      <c r="AP13" s="104" t="s">
        <v>102</v>
      </c>
      <c r="AX13" s="105" t="s">
        <v>170</v>
      </c>
      <c r="AY13" s="105"/>
      <c r="AZ13" s="105" t="s">
        <v>171</v>
      </c>
    </row>
    <row r="14" ht="12.75" customHeight="1" spans="1:54">
      <c r="A14" s="31" t="s">
        <v>172</v>
      </c>
      <c r="B14" s="241" t="str">
        <f>'5TO-I'!B10</f>
        <v>COTAQUISPE GALVEZ YOJAN ANDRES</v>
      </c>
      <c r="C14" s="241"/>
      <c r="D14" s="241"/>
      <c r="E14" s="66" t="s">
        <v>101</v>
      </c>
      <c r="F14" s="66" t="s">
        <v>102</v>
      </c>
      <c r="G14" s="66" t="s">
        <v>102</v>
      </c>
      <c r="H14" s="46"/>
      <c r="I14" s="61" t="s">
        <v>102</v>
      </c>
      <c r="J14" s="66" t="s">
        <v>101</v>
      </c>
      <c r="K14" s="66" t="s">
        <v>101</v>
      </c>
      <c r="L14" s="66" t="s">
        <v>101</v>
      </c>
      <c r="M14" s="46"/>
      <c r="N14" s="61" t="s">
        <v>101</v>
      </c>
      <c r="O14" s="66" t="s">
        <v>102</v>
      </c>
      <c r="P14" s="66" t="str">
        <f t="shared" si="0"/>
        <v>A</v>
      </c>
      <c r="Q14" s="46"/>
      <c r="R14" s="61" t="s">
        <v>101</v>
      </c>
      <c r="S14" s="66" t="s">
        <v>102</v>
      </c>
      <c r="T14" s="66" t="s">
        <v>102</v>
      </c>
      <c r="U14" s="46"/>
      <c r="V14" s="61" t="s">
        <v>102</v>
      </c>
      <c r="W14" s="74"/>
      <c r="X14" s="66" t="s">
        <v>101</v>
      </c>
      <c r="Y14" s="66" t="s">
        <v>101</v>
      </c>
      <c r="Z14" s="66" t="s">
        <v>102</v>
      </c>
      <c r="AA14" s="66" t="s">
        <v>102</v>
      </c>
      <c r="AB14" s="68" t="s">
        <v>101</v>
      </c>
      <c r="AC14" s="66" t="s">
        <v>102</v>
      </c>
      <c r="AD14" s="66" t="s">
        <v>102</v>
      </c>
      <c r="AE14" s="66" t="s">
        <v>102</v>
      </c>
      <c r="AF14" s="68" t="s">
        <v>102</v>
      </c>
      <c r="AG14" s="90"/>
      <c r="AH14" s="45" t="str">
        <f t="shared" si="1"/>
        <v>B</v>
      </c>
      <c r="AI14" s="45" t="str">
        <f t="shared" si="2"/>
        <v>A</v>
      </c>
      <c r="AJ14" s="45" t="str">
        <f t="shared" si="3"/>
        <v>A</v>
      </c>
      <c r="AK14" s="45" t="str">
        <f t="shared" si="4"/>
        <v>B</v>
      </c>
      <c r="AL14" s="91"/>
      <c r="AM14" s="45" t="str">
        <f t="shared" si="5"/>
        <v>A</v>
      </c>
      <c r="AN14" s="46" t="str">
        <f t="shared" si="6"/>
        <v>B</v>
      </c>
      <c r="AO14" s="102"/>
      <c r="AP14" s="104" t="s">
        <v>101</v>
      </c>
      <c r="AS14" s="105" t="s">
        <v>173</v>
      </c>
      <c r="AT14" s="106"/>
      <c r="AU14" s="106"/>
      <c r="AV14" s="106"/>
      <c r="AX14">
        <f t="shared" ref="AX14:BB14" si="7">SUM(AX15:AX22)</f>
        <v>16</v>
      </c>
      <c r="AZ14" s="116">
        <f t="shared" si="7"/>
        <v>100</v>
      </c>
      <c r="BB14">
        <f t="shared" si="7"/>
        <v>100</v>
      </c>
    </row>
    <row r="15" ht="12.75" customHeight="1" spans="1:54">
      <c r="A15" s="31" t="s">
        <v>174</v>
      </c>
      <c r="B15" s="241" t="str">
        <f>'5TO-I'!B11</f>
        <v>HUAMANI PAUCAR LUIS ALFREDO</v>
      </c>
      <c r="C15" s="241"/>
      <c r="D15" s="241"/>
      <c r="E15" s="66" t="s">
        <v>100</v>
      </c>
      <c r="F15" s="66" t="s">
        <v>102</v>
      </c>
      <c r="G15" s="66" t="s">
        <v>101</v>
      </c>
      <c r="H15" s="62"/>
      <c r="I15" s="63" t="s">
        <v>101</v>
      </c>
      <c r="J15" s="66" t="s">
        <v>101</v>
      </c>
      <c r="K15" s="66" t="s">
        <v>100</v>
      </c>
      <c r="L15" s="66" t="s">
        <v>100</v>
      </c>
      <c r="M15" s="62"/>
      <c r="N15" s="63" t="s">
        <v>100</v>
      </c>
      <c r="O15" s="66" t="s">
        <v>101</v>
      </c>
      <c r="P15" s="66" t="str">
        <f t="shared" si="0"/>
        <v>AD</v>
      </c>
      <c r="Q15" s="62"/>
      <c r="R15" s="63" t="s">
        <v>101</v>
      </c>
      <c r="S15" s="66" t="s">
        <v>101</v>
      </c>
      <c r="T15" s="66" t="s">
        <v>101</v>
      </c>
      <c r="U15" s="62"/>
      <c r="V15" s="63" t="s">
        <v>101</v>
      </c>
      <c r="W15" s="73"/>
      <c r="X15" s="66" t="s">
        <v>101</v>
      </c>
      <c r="Y15" s="66" t="s">
        <v>101</v>
      </c>
      <c r="Z15" s="66" t="s">
        <v>102</v>
      </c>
      <c r="AA15" s="66" t="s">
        <v>102</v>
      </c>
      <c r="AB15" s="80" t="s">
        <v>101</v>
      </c>
      <c r="AC15" s="66" t="s">
        <v>102</v>
      </c>
      <c r="AD15" s="66" t="s">
        <v>102</v>
      </c>
      <c r="AE15" s="66" t="s">
        <v>102</v>
      </c>
      <c r="AF15" s="80" t="s">
        <v>102</v>
      </c>
      <c r="AG15" s="90"/>
      <c r="AH15" s="92" t="str">
        <f t="shared" si="1"/>
        <v>A</v>
      </c>
      <c r="AI15" s="92" t="str">
        <f t="shared" si="2"/>
        <v>AD</v>
      </c>
      <c r="AJ15" s="92" t="str">
        <f t="shared" si="3"/>
        <v>A</v>
      </c>
      <c r="AK15" s="92" t="str">
        <f t="shared" si="4"/>
        <v>A</v>
      </c>
      <c r="AL15" s="91"/>
      <c r="AM15" s="92" t="str">
        <f t="shared" si="5"/>
        <v>A</v>
      </c>
      <c r="AN15" s="62" t="str">
        <f t="shared" si="6"/>
        <v>B</v>
      </c>
      <c r="AO15" s="102"/>
      <c r="AP15" s="107" t="s">
        <v>101</v>
      </c>
      <c r="AR15" s="110" t="s">
        <v>175</v>
      </c>
      <c r="AS15" s="105" t="s">
        <v>100</v>
      </c>
      <c r="AT15" s="106"/>
      <c r="AU15" s="106"/>
      <c r="AV15" s="106"/>
      <c r="AX15" s="117">
        <f>COUNTIF($AP$11:$AP$26,"AD")</f>
        <v>1</v>
      </c>
      <c r="AY15" s="118"/>
      <c r="AZ15" s="119">
        <f t="shared" ref="AZ15:AZ22" si="8">AX15*100/$AX$14</f>
        <v>6.25</v>
      </c>
      <c r="BB15">
        <v>0</v>
      </c>
    </row>
    <row r="16" ht="12.75" customHeight="1" spans="1:54">
      <c r="A16" s="31" t="s">
        <v>176</v>
      </c>
      <c r="B16" s="241" t="str">
        <f>'5TO-I'!B12</f>
        <v>HUARCAYA BACAS HENRY VICENTE</v>
      </c>
      <c r="C16" s="241"/>
      <c r="D16" s="241"/>
      <c r="E16" s="66" t="s">
        <v>101</v>
      </c>
      <c r="F16" s="66" t="s">
        <v>100</v>
      </c>
      <c r="G16" s="66" t="s">
        <v>101</v>
      </c>
      <c r="H16" s="64"/>
      <c r="I16" s="244" t="s">
        <v>101</v>
      </c>
      <c r="J16" s="66" t="s">
        <v>101</v>
      </c>
      <c r="K16" s="66" t="s">
        <v>100</v>
      </c>
      <c r="L16" s="66" t="s">
        <v>100</v>
      </c>
      <c r="M16" s="64"/>
      <c r="N16" s="75" t="s">
        <v>100</v>
      </c>
      <c r="O16" s="66" t="s">
        <v>101</v>
      </c>
      <c r="P16" s="66" t="str">
        <f t="shared" si="0"/>
        <v>AD</v>
      </c>
      <c r="Q16" s="64"/>
      <c r="R16" s="75" t="s">
        <v>101</v>
      </c>
      <c r="S16" s="66" t="s">
        <v>101</v>
      </c>
      <c r="T16" s="66" t="s">
        <v>100</v>
      </c>
      <c r="U16" s="64"/>
      <c r="V16" s="75" t="s">
        <v>100</v>
      </c>
      <c r="W16" s="76"/>
      <c r="X16" s="66" t="s">
        <v>101</v>
      </c>
      <c r="Y16" s="66" t="s">
        <v>101</v>
      </c>
      <c r="Z16" s="66" t="s">
        <v>102</v>
      </c>
      <c r="AA16" s="66" t="s">
        <v>102</v>
      </c>
      <c r="AB16" s="81" t="s">
        <v>101</v>
      </c>
      <c r="AC16" s="66" t="s">
        <v>102</v>
      </c>
      <c r="AD16" s="66" t="s">
        <v>102</v>
      </c>
      <c r="AE16" s="66" t="s">
        <v>102</v>
      </c>
      <c r="AF16" s="81" t="s">
        <v>102</v>
      </c>
      <c r="AG16" s="93"/>
      <c r="AH16" s="82" t="str">
        <f t="shared" si="1"/>
        <v>A</v>
      </c>
      <c r="AI16" s="82" t="str">
        <f t="shared" si="2"/>
        <v>AD</v>
      </c>
      <c r="AJ16" s="82" t="str">
        <f t="shared" si="3"/>
        <v>A</v>
      </c>
      <c r="AK16" s="82" t="str">
        <f t="shared" si="4"/>
        <v>AD</v>
      </c>
      <c r="AL16" s="94"/>
      <c r="AM16" s="82" t="str">
        <f t="shared" si="5"/>
        <v>A</v>
      </c>
      <c r="AN16" s="82" t="str">
        <f t="shared" si="6"/>
        <v>B</v>
      </c>
      <c r="AO16" s="108"/>
      <c r="AP16" s="109" t="s">
        <v>100</v>
      </c>
      <c r="AS16" s="105" t="s">
        <v>101</v>
      </c>
      <c r="AT16" s="106"/>
      <c r="AU16" s="106"/>
      <c r="AV16" s="106"/>
      <c r="AX16" s="117">
        <f>COUNTIF($AP$11:$AP$26,"A")</f>
        <v>11</v>
      </c>
      <c r="AY16" s="118"/>
      <c r="AZ16" s="119">
        <f t="shared" si="8"/>
        <v>68.75</v>
      </c>
      <c r="BB16">
        <v>63</v>
      </c>
    </row>
    <row r="17" ht="12.75" customHeight="1" spans="1:54">
      <c r="A17" s="31" t="s">
        <v>177</v>
      </c>
      <c r="B17" s="241" t="str">
        <f>'5TO-I'!B13</f>
        <v>HUAYHUAMEZA LEÑAN DEYVIS</v>
      </c>
      <c r="C17" s="241"/>
      <c r="D17" s="241"/>
      <c r="E17" s="66" t="s">
        <v>101</v>
      </c>
      <c r="F17" s="66" t="s">
        <v>102</v>
      </c>
      <c r="G17" s="66" t="s">
        <v>101</v>
      </c>
      <c r="H17" s="64"/>
      <c r="I17" s="65" t="s">
        <v>101</v>
      </c>
      <c r="J17" s="66" t="s">
        <v>101</v>
      </c>
      <c r="K17" s="66" t="s">
        <v>101</v>
      </c>
      <c r="L17" s="66" t="s">
        <v>101</v>
      </c>
      <c r="M17" s="64"/>
      <c r="N17" s="75" t="s">
        <v>101</v>
      </c>
      <c r="O17" s="66" t="s">
        <v>101</v>
      </c>
      <c r="P17" s="66" t="str">
        <f t="shared" si="0"/>
        <v>A</v>
      </c>
      <c r="Q17" s="64"/>
      <c r="R17" s="75" t="s">
        <v>101</v>
      </c>
      <c r="S17" s="66" t="s">
        <v>102</v>
      </c>
      <c r="T17" s="66" t="s">
        <v>102</v>
      </c>
      <c r="U17" s="64"/>
      <c r="V17" s="75" t="s">
        <v>102</v>
      </c>
      <c r="W17" s="76"/>
      <c r="X17" s="66" t="s">
        <v>101</v>
      </c>
      <c r="Y17" s="66" t="s">
        <v>101</v>
      </c>
      <c r="Z17" s="66" t="s">
        <v>102</v>
      </c>
      <c r="AA17" s="66" t="s">
        <v>102</v>
      </c>
      <c r="AB17" s="81" t="s">
        <v>101</v>
      </c>
      <c r="AC17" s="66" t="s">
        <v>102</v>
      </c>
      <c r="AD17" s="66" t="s">
        <v>102</v>
      </c>
      <c r="AE17" s="66" t="s">
        <v>102</v>
      </c>
      <c r="AF17" s="81" t="s">
        <v>102</v>
      </c>
      <c r="AG17" s="93"/>
      <c r="AH17" s="82" t="str">
        <f t="shared" si="1"/>
        <v>A</v>
      </c>
      <c r="AI17" s="82" t="str">
        <f t="shared" si="2"/>
        <v>A</v>
      </c>
      <c r="AJ17" s="82" t="str">
        <f t="shared" si="3"/>
        <v>A</v>
      </c>
      <c r="AK17" s="82" t="str">
        <f t="shared" si="4"/>
        <v>B</v>
      </c>
      <c r="AL17" s="94"/>
      <c r="AM17" s="82" t="str">
        <f t="shared" si="5"/>
        <v>A</v>
      </c>
      <c r="AN17" s="82" t="str">
        <f t="shared" si="6"/>
        <v>B</v>
      </c>
      <c r="AO17" s="108"/>
      <c r="AP17" s="109" t="s">
        <v>101</v>
      </c>
      <c r="AR17" s="110" t="s">
        <v>175</v>
      </c>
      <c r="AS17" s="105" t="s">
        <v>102</v>
      </c>
      <c r="AT17" s="106"/>
      <c r="AU17" s="106"/>
      <c r="AV17" s="106"/>
      <c r="AX17" s="117">
        <f>COUNTIF($AP$11:$AP$26,"B")</f>
        <v>3</v>
      </c>
      <c r="AY17" s="118"/>
      <c r="AZ17" s="119">
        <f t="shared" si="8"/>
        <v>18.75</v>
      </c>
      <c r="BB17">
        <v>31</v>
      </c>
    </row>
    <row r="18" ht="12.75" customHeight="1" spans="1:54">
      <c r="A18" s="31" t="s">
        <v>178</v>
      </c>
      <c r="B18" s="241" t="str">
        <f>'5TO-I'!B14</f>
        <v>JUSCAMAYTA HUARACC YOSSIMAR BAYRON</v>
      </c>
      <c r="C18" s="241"/>
      <c r="D18" s="241"/>
      <c r="E18" s="66" t="s">
        <v>101</v>
      </c>
      <c r="F18" s="66" t="s">
        <v>100</v>
      </c>
      <c r="G18" s="66" t="s">
        <v>101</v>
      </c>
      <c r="H18" s="43"/>
      <c r="I18" s="61" t="s">
        <v>101</v>
      </c>
      <c r="J18" s="66" t="s">
        <v>101</v>
      </c>
      <c r="K18" s="66" t="s">
        <v>102</v>
      </c>
      <c r="L18" s="66" t="s">
        <v>101</v>
      </c>
      <c r="M18" s="43"/>
      <c r="N18" s="65" t="s">
        <v>101</v>
      </c>
      <c r="O18" s="66" t="s">
        <v>101</v>
      </c>
      <c r="P18" s="66" t="str">
        <f t="shared" si="0"/>
        <v>A</v>
      </c>
      <c r="Q18" s="43"/>
      <c r="R18" s="65" t="s">
        <v>101</v>
      </c>
      <c r="S18" s="66" t="s">
        <v>101</v>
      </c>
      <c r="T18" s="66" t="s">
        <v>101</v>
      </c>
      <c r="U18" s="43"/>
      <c r="V18" s="65" t="s">
        <v>101</v>
      </c>
      <c r="W18" s="74"/>
      <c r="X18" s="66" t="s">
        <v>101</v>
      </c>
      <c r="Y18" s="66" t="s">
        <v>101</v>
      </c>
      <c r="Z18" s="66" t="s">
        <v>101</v>
      </c>
      <c r="AA18" s="66" t="s">
        <v>101</v>
      </c>
      <c r="AB18" s="70" t="s">
        <v>101</v>
      </c>
      <c r="AC18" s="66" t="s">
        <v>102</v>
      </c>
      <c r="AD18" s="66" t="s">
        <v>102</v>
      </c>
      <c r="AE18" s="66" t="s">
        <v>102</v>
      </c>
      <c r="AF18" s="70" t="s">
        <v>102</v>
      </c>
      <c r="AG18" s="90"/>
      <c r="AH18" s="44" t="str">
        <f t="shared" si="1"/>
        <v>A</v>
      </c>
      <c r="AI18" s="44" t="str">
        <f t="shared" si="2"/>
        <v>A</v>
      </c>
      <c r="AJ18" s="44" t="str">
        <f t="shared" si="3"/>
        <v>A</v>
      </c>
      <c r="AK18" s="44" t="str">
        <f t="shared" si="4"/>
        <v>A</v>
      </c>
      <c r="AL18" s="91"/>
      <c r="AM18" s="44" t="str">
        <f t="shared" si="5"/>
        <v>A</v>
      </c>
      <c r="AN18" s="43" t="str">
        <f t="shared" si="6"/>
        <v>B</v>
      </c>
      <c r="AO18" s="102"/>
      <c r="AP18" s="111" t="s">
        <v>101</v>
      </c>
      <c r="AS18" s="105" t="s">
        <v>105</v>
      </c>
      <c r="AT18" s="106"/>
      <c r="AU18" s="106"/>
      <c r="AV18" s="106"/>
      <c r="AX18" s="117">
        <f>COUNTIF($AP$11:$AP$26,"C")</f>
        <v>1</v>
      </c>
      <c r="AY18" s="118"/>
      <c r="AZ18" s="119">
        <f t="shared" si="8"/>
        <v>6.25</v>
      </c>
      <c r="BB18">
        <v>6</v>
      </c>
    </row>
    <row r="19" ht="12.75" customHeight="1" spans="1:54">
      <c r="A19" s="31" t="s">
        <v>179</v>
      </c>
      <c r="B19" s="242" t="str">
        <f>'5TO-I'!B15</f>
        <v>LEVANO GALINDO CRISTOPHER ANDRES</v>
      </c>
      <c r="C19" s="242"/>
      <c r="D19" s="242"/>
      <c r="E19" s="66" t="s">
        <v>101</v>
      </c>
      <c r="F19" s="66" t="s">
        <v>101</v>
      </c>
      <c r="G19" s="66" t="s">
        <v>101</v>
      </c>
      <c r="H19" s="46"/>
      <c r="I19" s="61" t="s">
        <v>101</v>
      </c>
      <c r="J19" s="66" t="s">
        <v>101</v>
      </c>
      <c r="K19" s="66" t="s">
        <v>101</v>
      </c>
      <c r="L19" s="66" t="s">
        <v>101</v>
      </c>
      <c r="M19" s="46"/>
      <c r="N19" s="61" t="s">
        <v>101</v>
      </c>
      <c r="O19" s="66" t="s">
        <v>101</v>
      </c>
      <c r="P19" s="66" t="str">
        <f t="shared" si="0"/>
        <v>A</v>
      </c>
      <c r="Q19" s="46"/>
      <c r="R19" s="61" t="s">
        <v>101</v>
      </c>
      <c r="S19" s="66" t="s">
        <v>101</v>
      </c>
      <c r="T19" s="66" t="s">
        <v>101</v>
      </c>
      <c r="U19" s="46"/>
      <c r="V19" s="61" t="s">
        <v>101</v>
      </c>
      <c r="W19" s="74"/>
      <c r="X19" s="66" t="s">
        <v>101</v>
      </c>
      <c r="Y19" s="66" t="s">
        <v>101</v>
      </c>
      <c r="Z19" s="66" t="s">
        <v>101</v>
      </c>
      <c r="AA19" s="66" t="s">
        <v>101</v>
      </c>
      <c r="AB19" s="68" t="s">
        <v>101</v>
      </c>
      <c r="AC19" s="66" t="s">
        <v>102</v>
      </c>
      <c r="AD19" s="66" t="s">
        <v>102</v>
      </c>
      <c r="AE19" s="66" t="s">
        <v>102</v>
      </c>
      <c r="AF19" s="68" t="s">
        <v>102</v>
      </c>
      <c r="AG19" s="90"/>
      <c r="AH19" s="45" t="str">
        <f t="shared" si="1"/>
        <v>A</v>
      </c>
      <c r="AI19" s="45" t="str">
        <f t="shared" si="2"/>
        <v>A</v>
      </c>
      <c r="AJ19" s="45" t="str">
        <f t="shared" si="3"/>
        <v>A</v>
      </c>
      <c r="AK19" s="45" t="str">
        <f t="shared" si="4"/>
        <v>A</v>
      </c>
      <c r="AL19" s="91"/>
      <c r="AM19" s="45" t="str">
        <f t="shared" si="5"/>
        <v>A</v>
      </c>
      <c r="AN19" s="46" t="str">
        <f t="shared" si="6"/>
        <v>B</v>
      </c>
      <c r="AO19" s="102"/>
      <c r="AP19" s="104" t="s">
        <v>101</v>
      </c>
      <c r="AS19" s="105" t="s">
        <v>180</v>
      </c>
      <c r="AT19" s="106"/>
      <c r="AU19" s="106"/>
      <c r="AV19" s="106"/>
      <c r="AX19" s="117">
        <v>0</v>
      </c>
      <c r="AY19" s="118"/>
      <c r="AZ19" s="119">
        <f t="shared" si="8"/>
        <v>0</v>
      </c>
      <c r="BB19">
        <v>0</v>
      </c>
    </row>
    <row r="20" ht="12.75" customHeight="1" spans="1:52">
      <c r="A20" s="31" t="s">
        <v>181</v>
      </c>
      <c r="B20" s="32" t="str">
        <f>'5TO-I'!B16</f>
        <v>LINARES ZAPATA CARLOS ALBERTO</v>
      </c>
      <c r="C20" s="32"/>
      <c r="D20" s="32"/>
      <c r="E20" s="66" t="s">
        <v>101</v>
      </c>
      <c r="F20" s="66" t="s">
        <v>102</v>
      </c>
      <c r="G20" s="66" t="s">
        <v>102</v>
      </c>
      <c r="H20" s="46"/>
      <c r="I20" s="61" t="s">
        <v>102</v>
      </c>
      <c r="J20" s="66" t="s">
        <v>101</v>
      </c>
      <c r="K20" s="66" t="s">
        <v>102</v>
      </c>
      <c r="L20" s="66" t="s">
        <v>101</v>
      </c>
      <c r="M20" s="46"/>
      <c r="N20" s="61" t="s">
        <v>101</v>
      </c>
      <c r="O20" s="66" t="s">
        <v>101</v>
      </c>
      <c r="P20" s="66" t="str">
        <f t="shared" si="0"/>
        <v>A</v>
      </c>
      <c r="Q20" s="46"/>
      <c r="R20" s="61" t="s">
        <v>101</v>
      </c>
      <c r="S20" s="66" t="s">
        <v>105</v>
      </c>
      <c r="T20" s="66" t="s">
        <v>102</v>
      </c>
      <c r="U20" s="46"/>
      <c r="V20" s="61" t="s">
        <v>102</v>
      </c>
      <c r="W20" s="74"/>
      <c r="X20" s="66" t="s">
        <v>101</v>
      </c>
      <c r="Y20" s="66" t="s">
        <v>101</v>
      </c>
      <c r="Z20" s="66" t="s">
        <v>102</v>
      </c>
      <c r="AA20" s="66" t="s">
        <v>102</v>
      </c>
      <c r="AB20" s="68" t="s">
        <v>101</v>
      </c>
      <c r="AC20" s="66" t="s">
        <v>102</v>
      </c>
      <c r="AD20" s="66" t="s">
        <v>102</v>
      </c>
      <c r="AE20" s="66" t="s">
        <v>102</v>
      </c>
      <c r="AF20" s="68" t="s">
        <v>102</v>
      </c>
      <c r="AG20" s="90"/>
      <c r="AH20" s="45" t="str">
        <f t="shared" si="1"/>
        <v>B</v>
      </c>
      <c r="AI20" s="45" t="str">
        <f t="shared" si="2"/>
        <v>A</v>
      </c>
      <c r="AJ20" s="45" t="str">
        <f t="shared" si="3"/>
        <v>A</v>
      </c>
      <c r="AK20" s="45" t="str">
        <f t="shared" si="4"/>
        <v>B</v>
      </c>
      <c r="AL20" s="91"/>
      <c r="AM20" s="45" t="str">
        <f t="shared" si="5"/>
        <v>A</v>
      </c>
      <c r="AN20" s="46" t="str">
        <f t="shared" si="6"/>
        <v>B</v>
      </c>
      <c r="AO20" s="102"/>
      <c r="AP20" s="104" t="s">
        <v>101</v>
      </c>
      <c r="AS20" s="105" t="s">
        <v>182</v>
      </c>
      <c r="AT20" s="106"/>
      <c r="AU20" s="106"/>
      <c r="AV20" s="106"/>
      <c r="AX20" s="117">
        <v>0</v>
      </c>
      <c r="AY20" s="118"/>
      <c r="AZ20" s="119">
        <f t="shared" si="8"/>
        <v>0</v>
      </c>
    </row>
    <row r="21" ht="12.75" customHeight="1" spans="1:52">
      <c r="A21" s="31" t="s">
        <v>183</v>
      </c>
      <c r="B21" s="32" t="str">
        <f>'5TO-I'!B17</f>
        <v>MOZO HUAYRA PEDRO CALEB</v>
      </c>
      <c r="C21" s="32"/>
      <c r="D21" s="32"/>
      <c r="E21" s="66" t="s">
        <v>101</v>
      </c>
      <c r="F21" s="66" t="s">
        <v>102</v>
      </c>
      <c r="G21" s="66" t="s">
        <v>102</v>
      </c>
      <c r="H21" s="46"/>
      <c r="I21" s="61" t="s">
        <v>102</v>
      </c>
      <c r="J21" s="66" t="s">
        <v>101</v>
      </c>
      <c r="K21" s="66" t="s">
        <v>101</v>
      </c>
      <c r="L21" s="66" t="s">
        <v>101</v>
      </c>
      <c r="M21" s="46"/>
      <c r="N21" s="61" t="s">
        <v>101</v>
      </c>
      <c r="O21" s="66" t="s">
        <v>101</v>
      </c>
      <c r="P21" s="66" t="str">
        <f t="shared" si="0"/>
        <v>A</v>
      </c>
      <c r="Q21" s="46"/>
      <c r="R21" s="61" t="s">
        <v>101</v>
      </c>
      <c r="S21" s="66" t="s">
        <v>102</v>
      </c>
      <c r="T21" s="66" t="s">
        <v>102</v>
      </c>
      <c r="U21" s="46"/>
      <c r="V21" s="61" t="s">
        <v>102</v>
      </c>
      <c r="W21" s="74"/>
      <c r="X21" s="66" t="s">
        <v>101</v>
      </c>
      <c r="Y21" s="66" t="s">
        <v>101</v>
      </c>
      <c r="Z21" s="66" t="s">
        <v>102</v>
      </c>
      <c r="AA21" s="66" t="s">
        <v>102</v>
      </c>
      <c r="AB21" s="68" t="s">
        <v>101</v>
      </c>
      <c r="AC21" s="66" t="s">
        <v>102</v>
      </c>
      <c r="AD21" s="66" t="s">
        <v>102</v>
      </c>
      <c r="AE21" s="66" t="s">
        <v>102</v>
      </c>
      <c r="AF21" s="68" t="s">
        <v>102</v>
      </c>
      <c r="AG21" s="90"/>
      <c r="AH21" s="45" t="str">
        <f t="shared" si="1"/>
        <v>B</v>
      </c>
      <c r="AI21" s="45" t="str">
        <f t="shared" si="2"/>
        <v>A</v>
      </c>
      <c r="AJ21" s="45" t="str">
        <f t="shared" si="3"/>
        <v>A</v>
      </c>
      <c r="AK21" s="45" t="str">
        <f t="shared" si="4"/>
        <v>B</v>
      </c>
      <c r="AL21" s="91"/>
      <c r="AM21" s="45" t="str">
        <f t="shared" si="5"/>
        <v>A</v>
      </c>
      <c r="AN21" s="46" t="str">
        <f t="shared" si="6"/>
        <v>B</v>
      </c>
      <c r="AO21" s="102"/>
      <c r="AP21" s="104" t="s">
        <v>101</v>
      </c>
      <c r="AS21" s="105" t="s">
        <v>184</v>
      </c>
      <c r="AT21" s="106"/>
      <c r="AU21" s="106"/>
      <c r="AV21" s="106"/>
      <c r="AX21" s="117">
        <v>0</v>
      </c>
      <c r="AY21" s="118"/>
      <c r="AZ21" s="119">
        <f t="shared" si="8"/>
        <v>0</v>
      </c>
    </row>
    <row r="22" ht="12.75" customHeight="1" spans="1:52">
      <c r="A22" s="31" t="s">
        <v>185</v>
      </c>
      <c r="B22" s="32" t="str">
        <f>'5TO-I'!B18</f>
        <v>NECOCHEA CASTILLO ANTHONY ORLANDO</v>
      </c>
      <c r="C22" s="32"/>
      <c r="D22" s="32"/>
      <c r="E22" s="66" t="s">
        <v>101</v>
      </c>
      <c r="F22" s="66" t="s">
        <v>101</v>
      </c>
      <c r="G22" s="66" t="s">
        <v>101</v>
      </c>
      <c r="H22" s="46"/>
      <c r="I22" s="61" t="s">
        <v>101</v>
      </c>
      <c r="J22" s="66" t="s">
        <v>101</v>
      </c>
      <c r="K22" s="66" t="s">
        <v>102</v>
      </c>
      <c r="L22" s="66" t="s">
        <v>101</v>
      </c>
      <c r="M22" s="46"/>
      <c r="N22" s="61" t="s">
        <v>101</v>
      </c>
      <c r="O22" s="66" t="s">
        <v>101</v>
      </c>
      <c r="P22" s="66" t="str">
        <f t="shared" si="0"/>
        <v>A</v>
      </c>
      <c r="Q22" s="46"/>
      <c r="R22" s="61" t="s">
        <v>101</v>
      </c>
      <c r="S22" s="66" t="s">
        <v>102</v>
      </c>
      <c r="T22" s="66" t="s">
        <v>102</v>
      </c>
      <c r="U22" s="46"/>
      <c r="V22" s="61" t="s">
        <v>102</v>
      </c>
      <c r="W22" s="74"/>
      <c r="X22" s="66" t="s">
        <v>101</v>
      </c>
      <c r="Y22" s="66" t="s">
        <v>101</v>
      </c>
      <c r="Z22" s="66" t="s">
        <v>102</v>
      </c>
      <c r="AA22" s="66" t="s">
        <v>102</v>
      </c>
      <c r="AB22" s="68" t="s">
        <v>101</v>
      </c>
      <c r="AC22" s="66" t="s">
        <v>102</v>
      </c>
      <c r="AD22" s="66" t="s">
        <v>102</v>
      </c>
      <c r="AE22" s="66" t="s">
        <v>102</v>
      </c>
      <c r="AF22" s="68" t="s">
        <v>102</v>
      </c>
      <c r="AG22" s="90"/>
      <c r="AH22" s="45" t="str">
        <f t="shared" si="1"/>
        <v>A</v>
      </c>
      <c r="AI22" s="45" t="str">
        <f t="shared" si="2"/>
        <v>A</v>
      </c>
      <c r="AJ22" s="45" t="str">
        <f t="shared" si="3"/>
        <v>A</v>
      </c>
      <c r="AK22" s="45" t="str">
        <f t="shared" si="4"/>
        <v>B</v>
      </c>
      <c r="AL22" s="91"/>
      <c r="AM22" s="45" t="str">
        <f t="shared" si="5"/>
        <v>A</v>
      </c>
      <c r="AN22" s="46" t="str">
        <f t="shared" si="6"/>
        <v>B</v>
      </c>
      <c r="AO22" s="102"/>
      <c r="AP22" s="104" t="s">
        <v>101</v>
      </c>
      <c r="AS22" s="105" t="s">
        <v>186</v>
      </c>
      <c r="AT22" s="106"/>
      <c r="AU22" s="106"/>
      <c r="AV22" s="106"/>
      <c r="AX22" s="117">
        <v>0</v>
      </c>
      <c r="AY22" s="118"/>
      <c r="AZ22" s="119">
        <f t="shared" si="8"/>
        <v>0</v>
      </c>
    </row>
    <row r="23" ht="12.75" customHeight="1" spans="1:42">
      <c r="A23" s="31" t="s">
        <v>187</v>
      </c>
      <c r="B23" s="32" t="str">
        <f>'5TO-I'!B19</f>
        <v>ÑAÑEZ CARRASQUEL DIEGO ALEJANDRO</v>
      </c>
      <c r="C23" s="32"/>
      <c r="D23" s="32"/>
      <c r="E23" s="66" t="s">
        <v>102</v>
      </c>
      <c r="F23" s="66" t="s">
        <v>101</v>
      </c>
      <c r="G23" s="66" t="s">
        <v>101</v>
      </c>
      <c r="H23" s="46"/>
      <c r="I23" s="61" t="s">
        <v>101</v>
      </c>
      <c r="J23" s="66" t="s">
        <v>102</v>
      </c>
      <c r="K23" s="66" t="s">
        <v>102</v>
      </c>
      <c r="L23" s="66" t="s">
        <v>105</v>
      </c>
      <c r="M23" s="46"/>
      <c r="N23" s="61" t="s">
        <v>102</v>
      </c>
      <c r="O23" s="66" t="s">
        <v>105</v>
      </c>
      <c r="P23" s="66" t="str">
        <f t="shared" si="0"/>
        <v>B</v>
      </c>
      <c r="Q23" s="46"/>
      <c r="R23" s="61" t="s">
        <v>102</v>
      </c>
      <c r="S23" s="66" t="s">
        <v>101</v>
      </c>
      <c r="T23" s="66" t="s">
        <v>105</v>
      </c>
      <c r="U23" s="46"/>
      <c r="V23" s="61" t="s">
        <v>102</v>
      </c>
      <c r="W23" s="74"/>
      <c r="X23" s="66" t="s">
        <v>102</v>
      </c>
      <c r="Y23" s="66" t="s">
        <v>102</v>
      </c>
      <c r="Z23" s="66" t="s">
        <v>102</v>
      </c>
      <c r="AA23" s="66" t="s">
        <v>102</v>
      </c>
      <c r="AB23" s="68" t="s">
        <v>102</v>
      </c>
      <c r="AC23" s="66" t="s">
        <v>102</v>
      </c>
      <c r="AD23" s="66" t="s">
        <v>102</v>
      </c>
      <c r="AE23" s="66" t="s">
        <v>102</v>
      </c>
      <c r="AF23" s="68" t="s">
        <v>102</v>
      </c>
      <c r="AG23" s="90"/>
      <c r="AH23" s="45" t="str">
        <f t="shared" si="1"/>
        <v>A</v>
      </c>
      <c r="AI23" s="45" t="str">
        <f t="shared" si="2"/>
        <v>B</v>
      </c>
      <c r="AJ23" s="45" t="str">
        <f t="shared" si="3"/>
        <v>B</v>
      </c>
      <c r="AK23" s="45" t="str">
        <f t="shared" si="4"/>
        <v>B</v>
      </c>
      <c r="AL23" s="91"/>
      <c r="AM23" s="45" t="str">
        <f t="shared" si="5"/>
        <v>B</v>
      </c>
      <c r="AN23" s="46" t="str">
        <f t="shared" si="6"/>
        <v>B</v>
      </c>
      <c r="AO23" s="102"/>
      <c r="AP23" s="104" t="s">
        <v>102</v>
      </c>
    </row>
    <row r="24" ht="12.75" customHeight="1" spans="1:42">
      <c r="A24" s="31" t="s">
        <v>188</v>
      </c>
      <c r="B24" s="32" t="str">
        <f>'5TO-I'!B20</f>
        <v>PEREZ MUÑOZ SAMIER ALEJANDRO</v>
      </c>
      <c r="C24" s="32"/>
      <c r="D24" s="32"/>
      <c r="E24" s="66" t="s">
        <v>101</v>
      </c>
      <c r="F24" s="66" t="s">
        <v>102</v>
      </c>
      <c r="G24" s="66" t="s">
        <v>101</v>
      </c>
      <c r="H24" s="46"/>
      <c r="I24" s="61" t="s">
        <v>101</v>
      </c>
      <c r="J24" s="66" t="s">
        <v>101</v>
      </c>
      <c r="K24" s="66" t="s">
        <v>101</v>
      </c>
      <c r="L24" s="66" t="s">
        <v>101</v>
      </c>
      <c r="M24" s="46"/>
      <c r="N24" s="61" t="s">
        <v>101</v>
      </c>
      <c r="O24" s="66" t="s">
        <v>101</v>
      </c>
      <c r="P24" s="66" t="str">
        <f t="shared" si="0"/>
        <v>A</v>
      </c>
      <c r="Q24" s="46"/>
      <c r="R24" s="61" t="s">
        <v>101</v>
      </c>
      <c r="S24" s="66" t="s">
        <v>100</v>
      </c>
      <c r="T24" s="66" t="s">
        <v>101</v>
      </c>
      <c r="U24" s="46"/>
      <c r="V24" s="61" t="s">
        <v>100</v>
      </c>
      <c r="W24" s="74"/>
      <c r="X24" s="66" t="s">
        <v>101</v>
      </c>
      <c r="Y24" s="66" t="s">
        <v>101</v>
      </c>
      <c r="Z24" s="66" t="s">
        <v>102</v>
      </c>
      <c r="AA24" s="66" t="s">
        <v>102</v>
      </c>
      <c r="AB24" s="68" t="s">
        <v>101</v>
      </c>
      <c r="AC24" s="66" t="s">
        <v>102</v>
      </c>
      <c r="AD24" s="66" t="s">
        <v>102</v>
      </c>
      <c r="AE24" s="66" t="s">
        <v>102</v>
      </c>
      <c r="AF24" s="68" t="s">
        <v>102</v>
      </c>
      <c r="AG24" s="90"/>
      <c r="AH24" s="45" t="str">
        <f t="shared" si="1"/>
        <v>A</v>
      </c>
      <c r="AI24" s="45" t="str">
        <f t="shared" si="2"/>
        <v>A</v>
      </c>
      <c r="AJ24" s="45" t="str">
        <f t="shared" si="3"/>
        <v>A</v>
      </c>
      <c r="AK24" s="45" t="str">
        <f t="shared" si="4"/>
        <v>AD</v>
      </c>
      <c r="AL24" s="91"/>
      <c r="AM24" s="45" t="str">
        <f t="shared" si="5"/>
        <v>A</v>
      </c>
      <c r="AN24" s="46" t="str">
        <f t="shared" si="6"/>
        <v>B</v>
      </c>
      <c r="AO24" s="102"/>
      <c r="AP24" s="104" t="s">
        <v>101</v>
      </c>
    </row>
    <row r="25" ht="12.75" customHeight="1" spans="1:52">
      <c r="A25" s="31" t="s">
        <v>189</v>
      </c>
      <c r="B25" s="32" t="str">
        <f>'5TO-I'!B21</f>
        <v>PICHARDE AQUINO CARLOS GABRIEL</v>
      </c>
      <c r="C25" s="32"/>
      <c r="D25" s="32"/>
      <c r="E25" s="66" t="s">
        <v>101</v>
      </c>
      <c r="F25" s="66" t="s">
        <v>102</v>
      </c>
      <c r="G25" s="66" t="s">
        <v>102</v>
      </c>
      <c r="H25" s="46"/>
      <c r="I25" s="61" t="s">
        <v>102</v>
      </c>
      <c r="J25" s="66" t="s">
        <v>101</v>
      </c>
      <c r="K25" s="66" t="s">
        <v>102</v>
      </c>
      <c r="L25" s="66" t="s">
        <v>101</v>
      </c>
      <c r="M25" s="46"/>
      <c r="N25" s="61" t="s">
        <v>101</v>
      </c>
      <c r="O25" s="66" t="s">
        <v>101</v>
      </c>
      <c r="P25" s="66" t="str">
        <f t="shared" si="0"/>
        <v>A</v>
      </c>
      <c r="Q25" s="46"/>
      <c r="R25" s="61" t="s">
        <v>101</v>
      </c>
      <c r="S25" s="66" t="s">
        <v>100</v>
      </c>
      <c r="T25" s="66" t="s">
        <v>101</v>
      </c>
      <c r="U25" s="46"/>
      <c r="V25" s="61" t="s">
        <v>100</v>
      </c>
      <c r="W25" s="74"/>
      <c r="X25" s="66" t="s">
        <v>101</v>
      </c>
      <c r="Y25" s="66" t="s">
        <v>101</v>
      </c>
      <c r="Z25" s="66" t="s">
        <v>102</v>
      </c>
      <c r="AA25" s="66" t="s">
        <v>102</v>
      </c>
      <c r="AB25" s="68" t="s">
        <v>101</v>
      </c>
      <c r="AC25" s="66" t="s">
        <v>102</v>
      </c>
      <c r="AD25" s="66" t="s">
        <v>102</v>
      </c>
      <c r="AE25" s="66" t="s">
        <v>102</v>
      </c>
      <c r="AF25" s="68" t="s">
        <v>102</v>
      </c>
      <c r="AG25" s="90"/>
      <c r="AH25" s="45" t="str">
        <f t="shared" si="1"/>
        <v>B</v>
      </c>
      <c r="AI25" s="45" t="str">
        <f t="shared" si="2"/>
        <v>A</v>
      </c>
      <c r="AJ25" s="45" t="str">
        <f t="shared" si="3"/>
        <v>A</v>
      </c>
      <c r="AK25" s="45" t="str">
        <f t="shared" si="4"/>
        <v>AD</v>
      </c>
      <c r="AL25" s="91"/>
      <c r="AM25" s="45" t="str">
        <f t="shared" si="5"/>
        <v>A</v>
      </c>
      <c r="AN25" s="46" t="str">
        <f t="shared" si="6"/>
        <v>B</v>
      </c>
      <c r="AO25" s="102"/>
      <c r="AP25" s="104" t="s">
        <v>101</v>
      </c>
      <c r="AZ25" s="120">
        <f>SUM(AZ15:AZ22)</f>
        <v>100</v>
      </c>
    </row>
    <row r="26" ht="12.75" customHeight="1" spans="1:47">
      <c r="A26" s="31" t="s">
        <v>190</v>
      </c>
      <c r="B26" s="32" t="str">
        <f>'5TO-I'!B22</f>
        <v>VEGA CANALES ALVEYRO CRISTOBAL</v>
      </c>
      <c r="C26" s="32"/>
      <c r="D26" s="32"/>
      <c r="E26" s="66" t="s">
        <v>105</v>
      </c>
      <c r="F26" s="66" t="s">
        <v>105</v>
      </c>
      <c r="G26" s="66" t="s">
        <v>102</v>
      </c>
      <c r="H26" s="46"/>
      <c r="I26" s="61" t="s">
        <v>105</v>
      </c>
      <c r="J26" s="66" t="s">
        <v>105</v>
      </c>
      <c r="K26" s="66" t="s">
        <v>105</v>
      </c>
      <c r="L26" s="66" t="s">
        <v>105</v>
      </c>
      <c r="M26" s="46"/>
      <c r="N26" s="61" t="s">
        <v>251</v>
      </c>
      <c r="O26" s="66" t="s">
        <v>105</v>
      </c>
      <c r="P26" s="66" t="str">
        <f t="shared" si="0"/>
        <v> C</v>
      </c>
      <c r="Q26" s="46"/>
      <c r="R26" s="61" t="s">
        <v>105</v>
      </c>
      <c r="S26" s="66" t="s">
        <v>102</v>
      </c>
      <c r="T26" s="66" t="s">
        <v>105</v>
      </c>
      <c r="U26" s="46"/>
      <c r="V26" s="61" t="s">
        <v>102</v>
      </c>
      <c r="W26" s="74"/>
      <c r="X26" s="66" t="s">
        <v>105</v>
      </c>
      <c r="Y26" s="66" t="s">
        <v>105</v>
      </c>
      <c r="Z26" s="66" t="s">
        <v>105</v>
      </c>
      <c r="AA26" s="66" t="s">
        <v>105</v>
      </c>
      <c r="AB26" s="68" t="s">
        <v>105</v>
      </c>
      <c r="AC26" s="66" t="s">
        <v>105</v>
      </c>
      <c r="AD26" s="66" t="s">
        <v>105</v>
      </c>
      <c r="AE26" s="66" t="s">
        <v>105</v>
      </c>
      <c r="AF26" s="68" t="s">
        <v>105</v>
      </c>
      <c r="AG26" s="90"/>
      <c r="AH26" s="45" t="str">
        <f t="shared" si="1"/>
        <v>C</v>
      </c>
      <c r="AI26" s="45" t="str">
        <f t="shared" si="2"/>
        <v> C</v>
      </c>
      <c r="AJ26" s="45" t="str">
        <f t="shared" si="3"/>
        <v>C</v>
      </c>
      <c r="AK26" s="45" t="str">
        <f t="shared" si="4"/>
        <v>B</v>
      </c>
      <c r="AL26" s="91"/>
      <c r="AM26" s="45" t="str">
        <f t="shared" si="5"/>
        <v>C</v>
      </c>
      <c r="AN26" s="46" t="str">
        <f t="shared" si="6"/>
        <v>C</v>
      </c>
      <c r="AO26" s="102"/>
      <c r="AP26" s="104" t="s">
        <v>105</v>
      </c>
      <c r="AT26" t="s">
        <v>100</v>
      </c>
      <c r="AU26">
        <f>COUNTIF(AP11:AP28,"AD")</f>
        <v>1</v>
      </c>
    </row>
    <row r="27" ht="12.75" customHeight="1" spans="1:47">
      <c r="A27" s="39" t="s">
        <v>191</v>
      </c>
      <c r="B27" s="32"/>
      <c r="C27" s="32"/>
      <c r="D27" s="32"/>
      <c r="E27" s="45"/>
      <c r="F27" s="45"/>
      <c r="G27" s="45"/>
      <c r="H27" s="46"/>
      <c r="I27" s="68"/>
      <c r="J27" s="67"/>
      <c r="K27" s="45"/>
      <c r="L27" s="45"/>
      <c r="M27" s="46"/>
      <c r="N27" s="68"/>
      <c r="O27" s="67"/>
      <c r="P27" s="66">
        <f t="shared" si="0"/>
        <v>0</v>
      </c>
      <c r="Q27" s="46"/>
      <c r="R27" s="68"/>
      <c r="S27" s="67"/>
      <c r="T27" s="45"/>
      <c r="U27" s="46"/>
      <c r="V27" s="68"/>
      <c r="W27" s="74"/>
      <c r="X27" s="45"/>
      <c r="Y27" s="45"/>
      <c r="Z27" s="45"/>
      <c r="AA27" s="46"/>
      <c r="AB27" s="68"/>
      <c r="AC27" s="67"/>
      <c r="AD27" s="45"/>
      <c r="AE27" s="46"/>
      <c r="AF27" s="68"/>
      <c r="AG27" s="90"/>
      <c r="AH27" s="45"/>
      <c r="AI27" s="45"/>
      <c r="AJ27" s="45"/>
      <c r="AK27" s="45"/>
      <c r="AL27" s="91"/>
      <c r="AM27" s="45"/>
      <c r="AN27" s="46"/>
      <c r="AO27" s="102"/>
      <c r="AP27" s="113"/>
      <c r="AT27" t="s">
        <v>101</v>
      </c>
      <c r="AU27">
        <f>COUNTIF(AP11:AP28,"A")</f>
        <v>11</v>
      </c>
    </row>
    <row r="28" ht="12.75" customHeight="1" spans="1:47">
      <c r="A28" s="31" t="s">
        <v>192</v>
      </c>
      <c r="B28" s="32"/>
      <c r="C28" s="32"/>
      <c r="D28" s="32"/>
      <c r="E28" s="45"/>
      <c r="F28" s="45"/>
      <c r="G28" s="45"/>
      <c r="H28" s="46"/>
      <c r="I28" s="68"/>
      <c r="J28" s="67"/>
      <c r="K28" s="45"/>
      <c r="L28" s="45"/>
      <c r="M28" s="46"/>
      <c r="N28" s="68"/>
      <c r="O28" s="67"/>
      <c r="P28" s="66">
        <f t="shared" si="0"/>
        <v>0</v>
      </c>
      <c r="Q28" s="46"/>
      <c r="R28" s="68"/>
      <c r="S28" s="67"/>
      <c r="T28" s="45"/>
      <c r="U28" s="46"/>
      <c r="V28" s="68"/>
      <c r="W28" s="74"/>
      <c r="X28" s="45"/>
      <c r="Y28" s="45"/>
      <c r="Z28" s="45"/>
      <c r="AA28" s="46"/>
      <c r="AB28" s="68"/>
      <c r="AC28" s="67"/>
      <c r="AD28" s="45"/>
      <c r="AE28" s="46"/>
      <c r="AF28" s="68"/>
      <c r="AG28" s="90"/>
      <c r="AH28" s="45"/>
      <c r="AI28" s="45"/>
      <c r="AJ28" s="45"/>
      <c r="AK28" s="45"/>
      <c r="AL28" s="91"/>
      <c r="AM28" s="45"/>
      <c r="AN28" s="46"/>
      <c r="AO28" s="102"/>
      <c r="AP28" s="113"/>
      <c r="AT28" t="s">
        <v>102</v>
      </c>
      <c r="AU28">
        <f>COUNTIF(AP11:AP28,"B")</f>
        <v>3</v>
      </c>
    </row>
    <row r="29" ht="12.75" customHeight="1" spans="1:47">
      <c r="A29" s="31" t="s">
        <v>193</v>
      </c>
      <c r="B29" s="32"/>
      <c r="C29" s="32"/>
      <c r="D29" s="32"/>
      <c r="E29" s="45"/>
      <c r="F29" s="45"/>
      <c r="G29" s="45"/>
      <c r="H29" s="46"/>
      <c r="I29" s="68"/>
      <c r="J29" s="67"/>
      <c r="K29" s="45"/>
      <c r="L29" s="45"/>
      <c r="M29" s="46"/>
      <c r="N29" s="68"/>
      <c r="O29" s="67"/>
      <c r="P29" s="66">
        <f t="shared" si="0"/>
        <v>0</v>
      </c>
      <c r="Q29" s="46"/>
      <c r="R29" s="68"/>
      <c r="S29" s="67"/>
      <c r="T29" s="45"/>
      <c r="U29" s="46"/>
      <c r="V29" s="68"/>
      <c r="W29" s="74"/>
      <c r="X29" s="45"/>
      <c r="Y29" s="45"/>
      <c r="Z29" s="45"/>
      <c r="AA29" s="46"/>
      <c r="AB29" s="68"/>
      <c r="AC29" s="67"/>
      <c r="AD29" s="45"/>
      <c r="AE29" s="46"/>
      <c r="AF29" s="68"/>
      <c r="AG29" s="90"/>
      <c r="AH29" s="45"/>
      <c r="AI29" s="45"/>
      <c r="AJ29" s="45"/>
      <c r="AK29" s="45"/>
      <c r="AL29" s="91"/>
      <c r="AM29" s="45"/>
      <c r="AN29" s="46"/>
      <c r="AO29" s="102"/>
      <c r="AP29" s="114"/>
      <c r="AT29" t="s">
        <v>105</v>
      </c>
      <c r="AU29">
        <f>COUNTIF(AP11:AP28,"C")</f>
        <v>1</v>
      </c>
    </row>
    <row r="30" ht="12.75" customHeight="1" spans="1:42">
      <c r="A30" s="31" t="s">
        <v>194</v>
      </c>
      <c r="B30" s="32"/>
      <c r="C30" s="32"/>
      <c r="D30" s="32"/>
      <c r="E30" s="45"/>
      <c r="F30" s="45"/>
      <c r="G30" s="45"/>
      <c r="H30" s="46"/>
      <c r="I30" s="68"/>
      <c r="J30" s="67"/>
      <c r="K30" s="45"/>
      <c r="L30" s="45"/>
      <c r="M30" s="46"/>
      <c r="N30" s="68"/>
      <c r="O30" s="67"/>
      <c r="P30" s="66">
        <f t="shared" si="0"/>
        <v>0</v>
      </c>
      <c r="Q30" s="46"/>
      <c r="R30" s="68"/>
      <c r="S30" s="67"/>
      <c r="T30" s="45"/>
      <c r="U30" s="46"/>
      <c r="V30" s="68"/>
      <c r="W30" s="74"/>
      <c r="X30" s="45"/>
      <c r="Y30" s="45"/>
      <c r="Z30" s="45"/>
      <c r="AA30" s="46"/>
      <c r="AB30" s="68"/>
      <c r="AC30" s="67"/>
      <c r="AD30" s="45"/>
      <c r="AE30" s="46"/>
      <c r="AF30" s="68"/>
      <c r="AG30" s="90"/>
      <c r="AH30" s="45"/>
      <c r="AI30" s="45"/>
      <c r="AJ30" s="45"/>
      <c r="AK30" s="45"/>
      <c r="AL30" s="91"/>
      <c r="AM30" s="45"/>
      <c r="AN30" s="46"/>
      <c r="AO30" s="102"/>
      <c r="AP30" s="114"/>
    </row>
    <row r="31" ht="12.75" customHeight="1" spans="1:47">
      <c r="A31" s="31" t="s">
        <v>195</v>
      </c>
      <c r="B31" s="32"/>
      <c r="C31" s="32"/>
      <c r="D31" s="32"/>
      <c r="E31" s="45"/>
      <c r="F31" s="45"/>
      <c r="G31" s="45"/>
      <c r="H31" s="46"/>
      <c r="I31" s="68"/>
      <c r="J31" s="67"/>
      <c r="K31" s="45"/>
      <c r="L31" s="45"/>
      <c r="M31" s="46"/>
      <c r="N31" s="68"/>
      <c r="O31" s="67"/>
      <c r="P31" s="66">
        <f t="shared" si="0"/>
        <v>0</v>
      </c>
      <c r="Q31" s="46"/>
      <c r="R31" s="68"/>
      <c r="S31" s="67"/>
      <c r="T31" s="45"/>
      <c r="U31" s="46"/>
      <c r="V31" s="68"/>
      <c r="W31" s="74"/>
      <c r="X31" s="45"/>
      <c r="Y31" s="45"/>
      <c r="Z31" s="45"/>
      <c r="AA31" s="46"/>
      <c r="AB31" s="68"/>
      <c r="AC31" s="67"/>
      <c r="AD31" s="45"/>
      <c r="AE31" s="46"/>
      <c r="AF31" s="68"/>
      <c r="AG31" s="90"/>
      <c r="AH31" s="45"/>
      <c r="AI31" s="45"/>
      <c r="AJ31" s="45"/>
      <c r="AK31" s="45"/>
      <c r="AL31" s="91"/>
      <c r="AM31" s="45"/>
      <c r="AN31" s="46"/>
      <c r="AO31" s="102"/>
      <c r="AP31" s="114"/>
      <c r="AU31">
        <f>SUM(AU26:AU29)</f>
        <v>16</v>
      </c>
    </row>
    <row r="32" ht="12.75" customHeight="1" spans="1:42">
      <c r="A32" s="31" t="s">
        <v>196</v>
      </c>
      <c r="B32" s="32"/>
      <c r="C32" s="32"/>
      <c r="D32" s="32"/>
      <c r="E32" s="45"/>
      <c r="F32" s="45"/>
      <c r="G32" s="45"/>
      <c r="H32" s="46"/>
      <c r="I32" s="68"/>
      <c r="J32" s="67"/>
      <c r="K32" s="45"/>
      <c r="L32" s="45"/>
      <c r="M32" s="46"/>
      <c r="N32" s="68"/>
      <c r="O32" s="67"/>
      <c r="P32" s="66">
        <f t="shared" si="0"/>
        <v>0</v>
      </c>
      <c r="Q32" s="46"/>
      <c r="R32" s="68"/>
      <c r="S32" s="67"/>
      <c r="T32" s="45"/>
      <c r="U32" s="46"/>
      <c r="V32" s="68"/>
      <c r="W32" s="74"/>
      <c r="X32" s="45"/>
      <c r="Y32" s="45"/>
      <c r="Z32" s="45"/>
      <c r="AA32" s="46"/>
      <c r="AB32" s="68"/>
      <c r="AC32" s="67"/>
      <c r="AD32" s="45"/>
      <c r="AE32" s="46"/>
      <c r="AF32" s="68"/>
      <c r="AG32" s="90"/>
      <c r="AH32" s="45"/>
      <c r="AI32" s="45"/>
      <c r="AJ32" s="45"/>
      <c r="AK32" s="45"/>
      <c r="AL32" s="91"/>
      <c r="AM32" s="45"/>
      <c r="AN32" s="46"/>
      <c r="AO32" s="102"/>
      <c r="AP32" s="114"/>
    </row>
    <row r="33" ht="12.75" customHeight="1" spans="1:42">
      <c r="A33" s="31" t="s">
        <v>197</v>
      </c>
      <c r="B33" s="32"/>
      <c r="C33" s="32"/>
      <c r="D33" s="32"/>
      <c r="E33" s="45"/>
      <c r="F33" s="45"/>
      <c r="G33" s="45"/>
      <c r="H33" s="46"/>
      <c r="I33" s="68"/>
      <c r="J33" s="67"/>
      <c r="K33" s="45"/>
      <c r="L33" s="45"/>
      <c r="M33" s="46"/>
      <c r="N33" s="68"/>
      <c r="O33" s="67"/>
      <c r="P33" s="66">
        <f t="shared" si="0"/>
        <v>0</v>
      </c>
      <c r="Q33" s="46"/>
      <c r="R33" s="68"/>
      <c r="S33" s="67"/>
      <c r="T33" s="45"/>
      <c r="U33" s="46"/>
      <c r="V33" s="68"/>
      <c r="W33" s="74"/>
      <c r="X33" s="45"/>
      <c r="Y33" s="45"/>
      <c r="Z33" s="45"/>
      <c r="AA33" s="46"/>
      <c r="AB33" s="68"/>
      <c r="AC33" s="67"/>
      <c r="AD33" s="45"/>
      <c r="AE33" s="46"/>
      <c r="AF33" s="68"/>
      <c r="AG33" s="90"/>
      <c r="AH33" s="45"/>
      <c r="AI33" s="45"/>
      <c r="AJ33" s="45"/>
      <c r="AK33" s="45"/>
      <c r="AL33" s="91"/>
      <c r="AM33" s="45"/>
      <c r="AN33" s="46"/>
      <c r="AO33" s="102"/>
      <c r="AP33" s="114"/>
    </row>
    <row r="34" ht="12.75" customHeight="1" spans="1:42">
      <c r="A34" s="31" t="s">
        <v>198</v>
      </c>
      <c r="B34" s="32"/>
      <c r="C34" s="32"/>
      <c r="D34" s="32"/>
      <c r="E34" s="45"/>
      <c r="F34" s="45"/>
      <c r="G34" s="45"/>
      <c r="H34" s="46"/>
      <c r="I34" s="68"/>
      <c r="J34" s="67"/>
      <c r="K34" s="45"/>
      <c r="L34" s="45"/>
      <c r="M34" s="46"/>
      <c r="N34" s="68"/>
      <c r="O34" s="67"/>
      <c r="P34" s="66">
        <f t="shared" si="0"/>
        <v>0</v>
      </c>
      <c r="Q34" s="46"/>
      <c r="R34" s="68"/>
      <c r="S34" s="67"/>
      <c r="T34" s="45"/>
      <c r="U34" s="46"/>
      <c r="V34" s="68"/>
      <c r="W34" s="74"/>
      <c r="X34" s="45"/>
      <c r="Y34" s="45"/>
      <c r="Z34" s="45"/>
      <c r="AA34" s="46"/>
      <c r="AB34" s="68"/>
      <c r="AC34" s="67"/>
      <c r="AD34" s="45"/>
      <c r="AE34" s="46"/>
      <c r="AF34" s="68"/>
      <c r="AG34" s="90"/>
      <c r="AH34" s="45"/>
      <c r="AI34" s="45"/>
      <c r="AJ34" s="45"/>
      <c r="AK34" s="45"/>
      <c r="AL34" s="91"/>
      <c r="AM34" s="45"/>
      <c r="AN34" s="46"/>
      <c r="AO34" s="102"/>
      <c r="AP34" s="114"/>
    </row>
    <row r="35" ht="12.75" customHeight="1" spans="1:42">
      <c r="A35" s="31" t="s">
        <v>199</v>
      </c>
      <c r="B35" s="32"/>
      <c r="C35" s="32"/>
      <c r="D35" s="32"/>
      <c r="E35" s="45"/>
      <c r="F35" s="45"/>
      <c r="G35" s="45"/>
      <c r="H35" s="46"/>
      <c r="I35" s="68"/>
      <c r="J35" s="67"/>
      <c r="K35" s="45"/>
      <c r="L35" s="45"/>
      <c r="M35" s="46"/>
      <c r="N35" s="68"/>
      <c r="O35" s="67"/>
      <c r="P35" s="66">
        <f t="shared" si="0"/>
        <v>0</v>
      </c>
      <c r="Q35" s="46"/>
      <c r="R35" s="68"/>
      <c r="S35" s="67"/>
      <c r="T35" s="45"/>
      <c r="U35" s="46"/>
      <c r="V35" s="68"/>
      <c r="W35" s="74"/>
      <c r="X35" s="45"/>
      <c r="Y35" s="45"/>
      <c r="Z35" s="45"/>
      <c r="AA35" s="46"/>
      <c r="AB35" s="68"/>
      <c r="AC35" s="67"/>
      <c r="AD35" s="45"/>
      <c r="AE35" s="46"/>
      <c r="AF35" s="68"/>
      <c r="AG35" s="90"/>
      <c r="AH35" s="45"/>
      <c r="AI35" s="45"/>
      <c r="AJ35" s="45"/>
      <c r="AK35" s="45"/>
      <c r="AL35" s="91"/>
      <c r="AM35" s="45"/>
      <c r="AN35" s="46"/>
      <c r="AO35" s="102"/>
      <c r="AP35" s="114"/>
    </row>
    <row r="36" ht="12.75" customHeight="1" spans="1:42">
      <c r="A36" s="31" t="s">
        <v>200</v>
      </c>
      <c r="B36" s="32"/>
      <c r="C36" s="32"/>
      <c r="D36" s="32"/>
      <c r="E36" s="45"/>
      <c r="F36" s="45"/>
      <c r="G36" s="45"/>
      <c r="H36" s="46"/>
      <c r="I36" s="68"/>
      <c r="J36" s="67"/>
      <c r="K36" s="45"/>
      <c r="L36" s="45"/>
      <c r="M36" s="46"/>
      <c r="N36" s="68"/>
      <c r="O36" s="67"/>
      <c r="P36" s="66">
        <f t="shared" si="0"/>
        <v>0</v>
      </c>
      <c r="Q36" s="46"/>
      <c r="R36" s="68"/>
      <c r="S36" s="67"/>
      <c r="T36" s="45"/>
      <c r="U36" s="46"/>
      <c r="V36" s="68"/>
      <c r="W36" s="74"/>
      <c r="X36" s="45"/>
      <c r="Y36" s="45"/>
      <c r="Z36" s="45"/>
      <c r="AA36" s="46"/>
      <c r="AB36" s="68"/>
      <c r="AC36" s="67"/>
      <c r="AD36" s="45"/>
      <c r="AE36" s="46"/>
      <c r="AF36" s="68"/>
      <c r="AG36" s="90"/>
      <c r="AH36" s="45"/>
      <c r="AI36" s="45"/>
      <c r="AJ36" s="45"/>
      <c r="AK36" s="45"/>
      <c r="AL36" s="91"/>
      <c r="AM36" s="45"/>
      <c r="AN36" s="46"/>
      <c r="AO36" s="102"/>
      <c r="AP36" s="114"/>
    </row>
    <row r="37" ht="12.75" customHeight="1" spans="1:42">
      <c r="A37" s="31" t="s">
        <v>201</v>
      </c>
      <c r="B37" s="32"/>
      <c r="C37" s="32"/>
      <c r="D37" s="32"/>
      <c r="E37" s="45"/>
      <c r="F37" s="45"/>
      <c r="G37" s="45"/>
      <c r="H37" s="46"/>
      <c r="I37" s="68"/>
      <c r="J37" s="67"/>
      <c r="K37" s="45"/>
      <c r="L37" s="45"/>
      <c r="M37" s="46"/>
      <c r="N37" s="68"/>
      <c r="O37" s="67"/>
      <c r="P37" s="66">
        <f t="shared" si="0"/>
        <v>0</v>
      </c>
      <c r="Q37" s="46"/>
      <c r="R37" s="68"/>
      <c r="S37" s="67"/>
      <c r="T37" s="45"/>
      <c r="U37" s="46"/>
      <c r="V37" s="68"/>
      <c r="W37" s="74"/>
      <c r="X37" s="45"/>
      <c r="Y37" s="45"/>
      <c r="Z37" s="45"/>
      <c r="AA37" s="46"/>
      <c r="AB37" s="68"/>
      <c r="AC37" s="67"/>
      <c r="AD37" s="45"/>
      <c r="AE37" s="46"/>
      <c r="AF37" s="68"/>
      <c r="AG37" s="90"/>
      <c r="AH37" s="45"/>
      <c r="AI37" s="45"/>
      <c r="AJ37" s="45"/>
      <c r="AK37" s="45"/>
      <c r="AL37" s="91"/>
      <c r="AM37" s="45"/>
      <c r="AN37" s="46"/>
      <c r="AO37" s="102"/>
      <c r="AP37" s="114"/>
    </row>
    <row r="38" ht="12.75" customHeight="1" spans="1:42">
      <c r="A38" s="31" t="s">
        <v>202</v>
      </c>
      <c r="B38" s="32"/>
      <c r="C38" s="32"/>
      <c r="D38" s="32"/>
      <c r="E38" s="45"/>
      <c r="F38" s="45"/>
      <c r="G38" s="45"/>
      <c r="H38" s="46"/>
      <c r="I38" s="68"/>
      <c r="J38" s="67"/>
      <c r="K38" s="45"/>
      <c r="L38" s="45"/>
      <c r="M38" s="46"/>
      <c r="N38" s="68"/>
      <c r="O38" s="67"/>
      <c r="P38" s="66">
        <f t="shared" si="0"/>
        <v>0</v>
      </c>
      <c r="Q38" s="46"/>
      <c r="R38" s="68"/>
      <c r="S38" s="67"/>
      <c r="T38" s="45"/>
      <c r="U38" s="46"/>
      <c r="V38" s="68"/>
      <c r="W38" s="74"/>
      <c r="X38" s="45"/>
      <c r="Y38" s="45"/>
      <c r="Z38" s="45"/>
      <c r="AA38" s="46"/>
      <c r="AB38" s="68"/>
      <c r="AC38" s="67"/>
      <c r="AD38" s="45"/>
      <c r="AE38" s="46"/>
      <c r="AF38" s="68"/>
      <c r="AG38" s="90"/>
      <c r="AH38" s="45"/>
      <c r="AI38" s="45"/>
      <c r="AJ38" s="45"/>
      <c r="AK38" s="45"/>
      <c r="AL38" s="91"/>
      <c r="AM38" s="45"/>
      <c r="AN38" s="46"/>
      <c r="AO38" s="102"/>
      <c r="AP38" s="114"/>
    </row>
    <row r="39" ht="12.75" customHeight="1" spans="1:42">
      <c r="A39" s="31" t="s">
        <v>203</v>
      </c>
      <c r="B39" s="32"/>
      <c r="C39" s="32"/>
      <c r="D39" s="32"/>
      <c r="E39" s="45"/>
      <c r="F39" s="45"/>
      <c r="G39" s="45"/>
      <c r="H39" s="46"/>
      <c r="I39" s="68"/>
      <c r="J39" s="67"/>
      <c r="K39" s="45"/>
      <c r="L39" s="45"/>
      <c r="M39" s="46"/>
      <c r="N39" s="68"/>
      <c r="O39" s="67"/>
      <c r="P39" s="66">
        <f t="shared" si="0"/>
        <v>0</v>
      </c>
      <c r="Q39" s="46"/>
      <c r="R39" s="68"/>
      <c r="S39" s="67"/>
      <c r="T39" s="45"/>
      <c r="U39" s="46"/>
      <c r="V39" s="68"/>
      <c r="W39" s="74"/>
      <c r="X39" s="45"/>
      <c r="Y39" s="45"/>
      <c r="Z39" s="45"/>
      <c r="AA39" s="46"/>
      <c r="AB39" s="68"/>
      <c r="AC39" s="67"/>
      <c r="AD39" s="45"/>
      <c r="AE39" s="46"/>
      <c r="AF39" s="68"/>
      <c r="AG39" s="90"/>
      <c r="AH39" s="45"/>
      <c r="AI39" s="45"/>
      <c r="AJ39" s="45"/>
      <c r="AK39" s="45"/>
      <c r="AL39" s="91"/>
      <c r="AM39" s="45"/>
      <c r="AN39" s="46"/>
      <c r="AO39" s="102"/>
      <c r="AP39" s="114"/>
    </row>
    <row r="40" ht="12.75" customHeight="1" spans="1:42">
      <c r="A40" s="31" t="s">
        <v>204</v>
      </c>
      <c r="B40" s="32"/>
      <c r="C40" s="32"/>
      <c r="D40" s="32"/>
      <c r="E40" s="45"/>
      <c r="F40" s="45"/>
      <c r="G40" s="45"/>
      <c r="H40" s="46"/>
      <c r="I40" s="68"/>
      <c r="J40" s="67"/>
      <c r="K40" s="45"/>
      <c r="L40" s="45"/>
      <c r="M40" s="46"/>
      <c r="N40" s="68"/>
      <c r="O40" s="67"/>
      <c r="P40" s="66">
        <f t="shared" si="0"/>
        <v>0</v>
      </c>
      <c r="Q40" s="46"/>
      <c r="R40" s="68"/>
      <c r="S40" s="67"/>
      <c r="T40" s="45"/>
      <c r="U40" s="46"/>
      <c r="V40" s="68"/>
      <c r="W40" s="74"/>
      <c r="X40" s="45"/>
      <c r="Y40" s="45"/>
      <c r="Z40" s="45"/>
      <c r="AA40" s="46"/>
      <c r="AB40" s="68"/>
      <c r="AC40" s="67"/>
      <c r="AD40" s="45"/>
      <c r="AE40" s="46"/>
      <c r="AF40" s="68"/>
      <c r="AG40" s="90"/>
      <c r="AH40" s="45"/>
      <c r="AI40" s="45"/>
      <c r="AJ40" s="45"/>
      <c r="AK40" s="45"/>
      <c r="AL40" s="91"/>
      <c r="AM40" s="45"/>
      <c r="AN40" s="46"/>
      <c r="AO40" s="102"/>
      <c r="AP40" s="114"/>
    </row>
    <row r="41" ht="12.75" customHeight="1" spans="1:42">
      <c r="A41" s="31" t="s">
        <v>205</v>
      </c>
      <c r="B41" s="32"/>
      <c r="C41" s="32"/>
      <c r="D41" s="32"/>
      <c r="E41" s="45"/>
      <c r="F41" s="45"/>
      <c r="G41" s="45"/>
      <c r="H41" s="46"/>
      <c r="I41" s="68"/>
      <c r="J41" s="67"/>
      <c r="K41" s="45"/>
      <c r="L41" s="45"/>
      <c r="M41" s="46"/>
      <c r="N41" s="68"/>
      <c r="O41" s="67"/>
      <c r="P41" s="66">
        <f t="shared" si="0"/>
        <v>0</v>
      </c>
      <c r="Q41" s="46"/>
      <c r="R41" s="68"/>
      <c r="S41" s="67"/>
      <c r="T41" s="45"/>
      <c r="U41" s="46"/>
      <c r="V41" s="68"/>
      <c r="W41" s="74"/>
      <c r="X41" s="45"/>
      <c r="Y41" s="45"/>
      <c r="Z41" s="45"/>
      <c r="AA41" s="46"/>
      <c r="AB41" s="68"/>
      <c r="AC41" s="67"/>
      <c r="AD41" s="45"/>
      <c r="AE41" s="46"/>
      <c r="AF41" s="68"/>
      <c r="AG41" s="90"/>
      <c r="AH41" s="45"/>
      <c r="AI41" s="45"/>
      <c r="AJ41" s="45"/>
      <c r="AK41" s="45"/>
      <c r="AL41" s="91"/>
      <c r="AM41" s="45"/>
      <c r="AN41" s="46"/>
      <c r="AO41" s="102"/>
      <c r="AP41" s="114"/>
    </row>
    <row r="42" ht="12.75" customHeight="1" spans="1:42">
      <c r="A42" s="31" t="s">
        <v>206</v>
      </c>
      <c r="B42" s="32"/>
      <c r="C42" s="32"/>
      <c r="D42" s="32"/>
      <c r="E42" s="45"/>
      <c r="F42" s="45"/>
      <c r="G42" s="45"/>
      <c r="H42" s="46"/>
      <c r="I42" s="68"/>
      <c r="J42" s="67"/>
      <c r="K42" s="45"/>
      <c r="L42" s="45"/>
      <c r="M42" s="46"/>
      <c r="N42" s="68"/>
      <c r="O42" s="67"/>
      <c r="P42" s="66">
        <f t="shared" si="0"/>
        <v>0</v>
      </c>
      <c r="Q42" s="46"/>
      <c r="R42" s="68"/>
      <c r="S42" s="67"/>
      <c r="T42" s="45"/>
      <c r="U42" s="46"/>
      <c r="V42" s="68"/>
      <c r="W42" s="74"/>
      <c r="X42" s="45"/>
      <c r="Y42" s="45"/>
      <c r="Z42" s="45"/>
      <c r="AA42" s="46"/>
      <c r="AB42" s="68"/>
      <c r="AC42" s="67"/>
      <c r="AD42" s="45"/>
      <c r="AE42" s="46"/>
      <c r="AF42" s="68"/>
      <c r="AG42" s="90"/>
      <c r="AH42" s="45"/>
      <c r="AI42" s="45"/>
      <c r="AJ42" s="45"/>
      <c r="AK42" s="45"/>
      <c r="AL42" s="91"/>
      <c r="AM42" s="45"/>
      <c r="AN42" s="46"/>
      <c r="AO42" s="102"/>
      <c r="AP42" s="114"/>
    </row>
    <row r="43" ht="12.75" customHeight="1" spans="1:42">
      <c r="A43" s="31" t="s">
        <v>207</v>
      </c>
      <c r="B43" s="32"/>
      <c r="C43" s="32"/>
      <c r="D43" s="32"/>
      <c r="E43" s="45"/>
      <c r="F43" s="45"/>
      <c r="G43" s="45"/>
      <c r="H43" s="46"/>
      <c r="I43" s="68"/>
      <c r="J43" s="67"/>
      <c r="K43" s="45"/>
      <c r="L43" s="45"/>
      <c r="M43" s="46"/>
      <c r="N43" s="68"/>
      <c r="O43" s="67"/>
      <c r="P43" s="66">
        <f t="shared" si="0"/>
        <v>0</v>
      </c>
      <c r="Q43" s="46"/>
      <c r="R43" s="68"/>
      <c r="S43" s="67"/>
      <c r="T43" s="45"/>
      <c r="U43" s="46"/>
      <c r="V43" s="68"/>
      <c r="W43" s="74"/>
      <c r="X43" s="45"/>
      <c r="Y43" s="45"/>
      <c r="Z43" s="45"/>
      <c r="AA43" s="46"/>
      <c r="AB43" s="68"/>
      <c r="AC43" s="67"/>
      <c r="AD43" s="45"/>
      <c r="AE43" s="46"/>
      <c r="AF43" s="68"/>
      <c r="AG43" s="97"/>
      <c r="AH43" s="45"/>
      <c r="AI43" s="45"/>
      <c r="AJ43" s="45"/>
      <c r="AK43" s="45"/>
      <c r="AL43" s="98"/>
      <c r="AM43" s="45"/>
      <c r="AN43" s="46"/>
      <c r="AO43" s="115"/>
      <c r="AP43" s="114"/>
    </row>
    <row r="44" ht="12.75" customHeight="1" spans="1:42">
      <c r="A44" s="31" t="s">
        <v>208</v>
      </c>
      <c r="B44" s="32"/>
      <c r="C44" s="32"/>
      <c r="D44" s="32"/>
      <c r="E44" s="45"/>
      <c r="F44" s="45"/>
      <c r="G44" s="45"/>
      <c r="H44" s="46"/>
      <c r="I44" s="68"/>
      <c r="J44" s="67"/>
      <c r="K44" s="45"/>
      <c r="L44" s="45"/>
      <c r="M44" s="46"/>
      <c r="N44" s="68"/>
      <c r="O44" s="67"/>
      <c r="P44" s="66">
        <f t="shared" si="0"/>
        <v>0</v>
      </c>
      <c r="Q44" s="46"/>
      <c r="R44" s="68"/>
      <c r="S44" s="67"/>
      <c r="T44" s="45"/>
      <c r="U44" s="46"/>
      <c r="V44" s="68"/>
      <c r="W44" s="74"/>
      <c r="X44" s="45"/>
      <c r="Y44" s="45"/>
      <c r="Z44" s="45"/>
      <c r="AA44" s="46"/>
      <c r="AB44" s="68"/>
      <c r="AC44" s="67"/>
      <c r="AD44" s="45"/>
      <c r="AE44" s="46"/>
      <c r="AF44" s="68"/>
      <c r="AG44" s="97"/>
      <c r="AH44" s="45"/>
      <c r="AI44" s="45"/>
      <c r="AJ44" s="45"/>
      <c r="AK44" s="45"/>
      <c r="AL44" s="98"/>
      <c r="AM44" s="45"/>
      <c r="AN44" s="46"/>
      <c r="AO44" s="115"/>
      <c r="AP44" s="114"/>
    </row>
    <row r="45" ht="12.75" customHeight="1" spans="1:42">
      <c r="A45" s="31" t="s">
        <v>209</v>
      </c>
      <c r="B45" s="32"/>
      <c r="C45" s="32"/>
      <c r="D45" s="32"/>
      <c r="E45" s="45"/>
      <c r="F45" s="45"/>
      <c r="G45" s="45"/>
      <c r="H45" s="46"/>
      <c r="I45" s="69"/>
      <c r="J45" s="67"/>
      <c r="K45" s="45"/>
      <c r="L45" s="45"/>
      <c r="M45" s="46"/>
      <c r="N45" s="69"/>
      <c r="O45" s="67"/>
      <c r="P45" s="66">
        <f t="shared" si="0"/>
        <v>0</v>
      </c>
      <c r="Q45" s="46"/>
      <c r="R45" s="69"/>
      <c r="S45" s="67"/>
      <c r="T45" s="45"/>
      <c r="U45" s="46"/>
      <c r="V45" s="69"/>
      <c r="W45" s="74"/>
      <c r="X45" s="45"/>
      <c r="Y45" s="45"/>
      <c r="Z45" s="45"/>
      <c r="AA45" s="46"/>
      <c r="AB45" s="69"/>
      <c r="AC45" s="67"/>
      <c r="AD45" s="45"/>
      <c r="AE45" s="46"/>
      <c r="AF45" s="69"/>
      <c r="AG45" s="97"/>
      <c r="AH45" s="45"/>
      <c r="AI45" s="45"/>
      <c r="AJ45" s="45"/>
      <c r="AK45" s="45"/>
      <c r="AL45" s="98"/>
      <c r="AM45" s="45"/>
      <c r="AN45" s="46"/>
      <c r="AO45" s="115"/>
      <c r="AP45" s="114"/>
    </row>
    <row r="49" spans="12:12">
      <c r="L49" s="6" t="s">
        <v>252</v>
      </c>
    </row>
  </sheetData>
  <mergeCells count="97">
    <mergeCell ref="A1:AP1"/>
    <mergeCell ref="C2:D2"/>
    <mergeCell ref="E2:AF2"/>
    <mergeCell ref="AH2:AN2"/>
    <mergeCell ref="C3:D3"/>
    <mergeCell ref="E3:I3"/>
    <mergeCell ref="J3:N3"/>
    <mergeCell ref="O3:R3"/>
    <mergeCell ref="S3:V3"/>
    <mergeCell ref="X3:AB3"/>
    <mergeCell ref="AC3:AF3"/>
    <mergeCell ref="B4:D4"/>
    <mergeCell ref="B5:D5"/>
    <mergeCell ref="B6:D6"/>
    <mergeCell ref="B7:D7"/>
    <mergeCell ref="B8:D8"/>
    <mergeCell ref="B11:D11"/>
    <mergeCell ref="B12:D12"/>
    <mergeCell ref="AS12:BC12"/>
    <mergeCell ref="B13:D13"/>
    <mergeCell ref="B14:D14"/>
    <mergeCell ref="AS14:AV14"/>
    <mergeCell ref="B15:D15"/>
    <mergeCell ref="AS15:AV15"/>
    <mergeCell ref="B16:D16"/>
    <mergeCell ref="AS16:AV16"/>
    <mergeCell ref="B17:D17"/>
    <mergeCell ref="AS17:AV17"/>
    <mergeCell ref="B18:D18"/>
    <mergeCell ref="AS18:AV18"/>
    <mergeCell ref="B19:D19"/>
    <mergeCell ref="AS19:AV19"/>
    <mergeCell ref="B20:D20"/>
    <mergeCell ref="AS20:AV20"/>
    <mergeCell ref="B21:D21"/>
    <mergeCell ref="AS21:AV21"/>
    <mergeCell ref="B22:D22"/>
    <mergeCell ref="AS22:AV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A2:A10"/>
    <mergeCell ref="E4:E10"/>
    <mergeCell ref="F4:F10"/>
    <mergeCell ref="G4:G10"/>
    <mergeCell ref="H4:H10"/>
    <mergeCell ref="I4:I10"/>
    <mergeCell ref="J4:J10"/>
    <mergeCell ref="K4:K10"/>
    <mergeCell ref="L4:L10"/>
    <mergeCell ref="M4:M10"/>
    <mergeCell ref="N4:N10"/>
    <mergeCell ref="O4:O10"/>
    <mergeCell ref="P4:P10"/>
    <mergeCell ref="Q4:Q10"/>
    <mergeCell ref="R4:R10"/>
    <mergeCell ref="S4:S10"/>
    <mergeCell ref="T4:T10"/>
    <mergeCell ref="U4:U10"/>
    <mergeCell ref="V4:V10"/>
    <mergeCell ref="X4:X10"/>
    <mergeCell ref="Y4:Y10"/>
    <mergeCell ref="Z4:Z10"/>
    <mergeCell ref="AA4:AA10"/>
    <mergeCell ref="AB4:AB10"/>
    <mergeCell ref="AC4:AC10"/>
    <mergeCell ref="AD4:AD10"/>
    <mergeCell ref="AE4:AE10"/>
    <mergeCell ref="AF4:AF10"/>
    <mergeCell ref="AH3:AH10"/>
    <mergeCell ref="AI3:AI10"/>
    <mergeCell ref="AJ3:AJ10"/>
    <mergeCell ref="AK3:AK10"/>
    <mergeCell ref="AM3:AM10"/>
    <mergeCell ref="AN3:AN10"/>
    <mergeCell ref="AP2:AP10"/>
    <mergeCell ref="B9:D10"/>
  </mergeCells>
  <conditionalFormatting sqref="AR15">
    <cfRule type="cellIs" dxfId="1" priority="37" stopIfTrue="1" operator="greaterThan">
      <formula>10</formula>
    </cfRule>
    <cfRule type="cellIs" dxfId="2" priority="38" stopIfTrue="1" operator="lessThanOrEqual">
      <formula>10.9</formula>
    </cfRule>
  </conditionalFormatting>
  <conditionalFormatting sqref="AR17">
    <cfRule type="cellIs" dxfId="1" priority="35" stopIfTrue="1" operator="greaterThan">
      <formula>10</formula>
    </cfRule>
    <cfRule type="cellIs" dxfId="2" priority="36" stopIfTrue="1" operator="lessThanOrEqual">
      <formula>10.9</formula>
    </cfRule>
  </conditionalFormatting>
  <conditionalFormatting sqref="Q27">
    <cfRule type="cellIs" dxfId="3" priority="66" stopIfTrue="1" operator="lessThan">
      <formula>11</formula>
    </cfRule>
    <cfRule type="cellIs" dxfId="4" priority="67" stopIfTrue="1" operator="greaterThan">
      <formula>10</formula>
    </cfRule>
    <cfRule type="cellIs" dxfId="5" priority="68" stopIfTrue="1" operator="lessThan">
      <formula>11</formula>
    </cfRule>
  </conditionalFormatting>
  <conditionalFormatting sqref="N44:N45">
    <cfRule type="cellIs" dxfId="3" priority="197" stopIfTrue="1" operator="lessThan">
      <formula>11</formula>
    </cfRule>
    <cfRule type="cellIs" dxfId="4" priority="198" stopIfTrue="1" operator="greaterThan">
      <formula>10</formula>
    </cfRule>
    <cfRule type="cellIs" dxfId="5" priority="199" stopIfTrue="1" operator="lessThan">
      <formula>11</formula>
    </cfRule>
  </conditionalFormatting>
  <conditionalFormatting sqref="O29:O45">
    <cfRule type="cellIs" dxfId="4" priority="82" stopIfTrue="1" operator="greaterThan">
      <formula>10</formula>
    </cfRule>
    <cfRule type="cellIs" dxfId="6" priority="83" stopIfTrue="1" operator="lessThanOrEqual">
      <formula>10.9</formula>
    </cfRule>
  </conditionalFormatting>
  <conditionalFormatting sqref="T44:T45">
    <cfRule type="cellIs" dxfId="3" priority="189" stopIfTrue="1" operator="lessThan">
      <formula>11</formula>
    </cfRule>
    <cfRule type="cellIs" dxfId="4" priority="190" stopIfTrue="1" operator="greaterThan">
      <formula>10</formula>
    </cfRule>
    <cfRule type="cellIs" dxfId="5" priority="191" stopIfTrue="1" operator="lessThan">
      <formula>11</formula>
    </cfRule>
  </conditionalFormatting>
  <conditionalFormatting sqref="AB42:AB45">
    <cfRule type="cellIs" dxfId="4" priority="153" stopIfTrue="1" operator="greaterThan">
      <formula>10</formula>
    </cfRule>
    <cfRule type="cellIs" dxfId="6" priority="154" stopIfTrue="1" operator="lessThanOrEqual">
      <formula>10.9</formula>
    </cfRule>
    <cfRule type="cellIs" dxfId="3" priority="155" stopIfTrue="1" operator="lessThan">
      <formula>11</formula>
    </cfRule>
    <cfRule type="cellIs" dxfId="4" priority="156" stopIfTrue="1" operator="greaterThan">
      <formula>10</formula>
    </cfRule>
    <cfRule type="cellIs" dxfId="5" priority="157" stopIfTrue="1" operator="lessThan">
      <formula>11</formula>
    </cfRule>
  </conditionalFormatting>
  <conditionalFormatting sqref="AD44:AD45">
    <cfRule type="cellIs" dxfId="3" priority="213" stopIfTrue="1" operator="lessThan">
      <formula>11</formula>
    </cfRule>
    <cfRule type="cellIs" dxfId="4" priority="214" stopIfTrue="1" operator="greaterThan">
      <formula>10</formula>
    </cfRule>
    <cfRule type="cellIs" dxfId="5" priority="215" stopIfTrue="1" operator="lessThan">
      <formula>11</formula>
    </cfRule>
    <cfRule type="cellIs" dxfId="3" priority="216" stopIfTrue="1" operator="lessThan">
      <formula>11</formula>
    </cfRule>
    <cfRule type="cellIs" dxfId="4" priority="217" stopIfTrue="1" operator="greaterThan">
      <formula>10</formula>
    </cfRule>
    <cfRule type="cellIs" dxfId="5" priority="218" stopIfTrue="1" operator="lessThan">
      <formula>11</formula>
    </cfRule>
  </conditionalFormatting>
  <conditionalFormatting sqref="AE41:AE45">
    <cfRule type="cellIs" dxfId="7" priority="210" stopIfTrue="1" operator="lessThan">
      <formula>11</formula>
    </cfRule>
    <cfRule type="cellIs" dxfId="4" priority="211" stopIfTrue="1" operator="greaterThan">
      <formula>10</formula>
    </cfRule>
    <cfRule type="cellIs" dxfId="5" priority="212" stopIfTrue="1" operator="lessThan">
      <formula>11</formula>
    </cfRule>
  </conditionalFormatting>
  <conditionalFormatting sqref="AE44:AE45">
    <cfRule type="cellIs" dxfId="7" priority="207" stopIfTrue="1" operator="lessThan">
      <formula>11</formula>
    </cfRule>
    <cfRule type="cellIs" dxfId="4" priority="208" stopIfTrue="1" operator="greaterThan">
      <formula>10</formula>
    </cfRule>
    <cfRule type="cellIs" dxfId="5" priority="209" stopIfTrue="1" operator="lessThan">
      <formula>11</formula>
    </cfRule>
  </conditionalFormatting>
  <conditionalFormatting sqref="AF11:AF13">
    <cfRule type="cellIs" dxfId="3" priority="246" stopIfTrue="1" operator="lessThan">
      <formula>11</formula>
    </cfRule>
    <cfRule type="cellIs" dxfId="4" priority="247" stopIfTrue="1" operator="greaterThan">
      <formula>10</formula>
    </cfRule>
    <cfRule type="cellIs" dxfId="5" priority="248" stopIfTrue="1" operator="lessThan">
      <formula>11</formula>
    </cfRule>
  </conditionalFormatting>
  <conditionalFormatting sqref="AP44:AP45">
    <cfRule type="cellIs" dxfId="4" priority="200" stopIfTrue="1" operator="greaterThan">
      <formula>10</formula>
    </cfRule>
    <cfRule type="cellIs" dxfId="6" priority="201" stopIfTrue="1" operator="lessThanOrEqual">
      <formula>10.9</formula>
    </cfRule>
  </conditionalFormatting>
  <conditionalFormatting sqref="E11:G26">
    <cfRule type="cellIs" dxfId="3" priority="16" stopIfTrue="1" operator="lessThan">
      <formula>11</formula>
    </cfRule>
    <cfRule type="cellIs" dxfId="4" priority="17" stopIfTrue="1" operator="greaterThan">
      <formula>10</formula>
    </cfRule>
    <cfRule type="cellIs" dxfId="5" priority="18" stopIfTrue="1" operator="lessThan">
      <formula>11</formula>
    </cfRule>
  </conditionalFormatting>
  <conditionalFormatting sqref="J11:L26">
    <cfRule type="cellIs" dxfId="3" priority="13" stopIfTrue="1" operator="lessThan">
      <formula>11</formula>
    </cfRule>
    <cfRule type="cellIs" dxfId="4" priority="14" stopIfTrue="1" operator="greaterThan">
      <formula>10</formula>
    </cfRule>
    <cfRule type="cellIs" dxfId="5" priority="15" stopIfTrue="1" operator="lessThan">
      <formula>11</formula>
    </cfRule>
  </conditionalFormatting>
  <conditionalFormatting sqref="O11:P11;O12:O26;P12:P45">
    <cfRule type="cellIs" dxfId="3" priority="10" stopIfTrue="1" operator="lessThan">
      <formula>11</formula>
    </cfRule>
    <cfRule type="cellIs" dxfId="4" priority="11" stopIfTrue="1" operator="greaterThan">
      <formula>10</formula>
    </cfRule>
    <cfRule type="cellIs" dxfId="5" priority="12" stopIfTrue="1" operator="lessThan">
      <formula>11</formula>
    </cfRule>
  </conditionalFormatting>
  <conditionalFormatting sqref="S11:T26">
    <cfRule type="cellIs" dxfId="3" priority="7" stopIfTrue="1" operator="lessThan">
      <formula>11</formula>
    </cfRule>
    <cfRule type="cellIs" dxfId="4" priority="8" stopIfTrue="1" operator="greaterThan">
      <formula>10</formula>
    </cfRule>
    <cfRule type="cellIs" dxfId="5" priority="9" stopIfTrue="1" operator="lessThan">
      <formula>11</formula>
    </cfRule>
  </conditionalFormatting>
  <conditionalFormatting sqref="X11:AA26">
    <cfRule type="cellIs" dxfId="3" priority="4" stopIfTrue="1" operator="lessThan">
      <formula>11</formula>
    </cfRule>
    <cfRule type="cellIs" dxfId="4" priority="5" stopIfTrue="1" operator="greaterThan">
      <formula>10</formula>
    </cfRule>
    <cfRule type="cellIs" dxfId="5" priority="6" stopIfTrue="1" operator="lessThan">
      <formula>11</formula>
    </cfRule>
  </conditionalFormatting>
  <conditionalFormatting sqref="AC11:AE26">
    <cfRule type="cellIs" dxfId="3" priority="1" stopIfTrue="1" operator="lessThan">
      <formula>11</formula>
    </cfRule>
    <cfRule type="cellIs" dxfId="4" priority="2" stopIfTrue="1" operator="greaterThan">
      <formula>10</formula>
    </cfRule>
    <cfRule type="cellIs" dxfId="5" priority="3" stopIfTrue="1" operator="lessThan">
      <formula>11</formula>
    </cfRule>
  </conditionalFormatting>
  <conditionalFormatting sqref="E29:G45">
    <cfRule type="cellIs" dxfId="4" priority="86" stopIfTrue="1" operator="greaterThan">
      <formula>10</formula>
    </cfRule>
    <cfRule type="cellIs" dxfId="6" priority="87" stopIfTrue="1" operator="lessThanOrEqual">
      <formula>10.9</formula>
    </cfRule>
  </conditionalFormatting>
  <conditionalFormatting sqref="J29:L45">
    <cfRule type="cellIs" dxfId="4" priority="84" stopIfTrue="1" operator="greaterThan">
      <formula>10</formula>
    </cfRule>
    <cfRule type="cellIs" dxfId="6" priority="85" stopIfTrue="1" operator="lessThanOrEqual">
      <formula>10.9</formula>
    </cfRule>
  </conditionalFormatting>
  <conditionalFormatting sqref="S29:T45">
    <cfRule type="cellIs" dxfId="4" priority="80" stopIfTrue="1" operator="greaterThan">
      <formula>10</formula>
    </cfRule>
    <cfRule type="cellIs" dxfId="6" priority="81" stopIfTrue="1" operator="lessThanOrEqual">
      <formula>10.9</formula>
    </cfRule>
  </conditionalFormatting>
  <conditionalFormatting sqref="AM29:AN41">
    <cfRule type="cellIs" dxfId="4" priority="102" stopIfTrue="1" operator="greaterThan">
      <formula>10</formula>
    </cfRule>
    <cfRule type="cellIs" dxfId="6" priority="103" stopIfTrue="1" operator="lessThanOrEqual">
      <formula>10.9</formula>
    </cfRule>
    <cfRule type="cellIs" dxfId="3" priority="104" stopIfTrue="1" operator="lessThan">
      <formula>11</formula>
    </cfRule>
    <cfRule type="cellIs" dxfId="5" priority="106" stopIfTrue="1" operator="lessThan">
      <formula>11</formula>
    </cfRule>
  </conditionalFormatting>
  <conditionalFormatting sqref="AM29:AN45">
    <cfRule type="cellIs" dxfId="4" priority="105" stopIfTrue="1" operator="greaterThan">
      <formula>10</formula>
    </cfRule>
  </conditionalFormatting>
  <conditionalFormatting sqref="AH42:AK45">
    <cfRule type="cellIs" dxfId="4" priority="166" stopIfTrue="1" operator="greaterThan">
      <formula>10</formula>
    </cfRule>
    <cfRule type="cellIs" dxfId="6" priority="167" stopIfTrue="1" operator="lessThanOrEqual">
      <formula>10.9</formula>
    </cfRule>
    <cfRule type="cellIs" dxfId="3" priority="168" stopIfTrue="1" operator="lessThan">
      <formula>11</formula>
    </cfRule>
    <cfRule type="cellIs" dxfId="4" priority="169" stopIfTrue="1" operator="greaterThan">
      <formula>10</formula>
    </cfRule>
    <cfRule type="cellIs" dxfId="5" priority="170" stopIfTrue="1" operator="lessThan">
      <formula>11</formula>
    </cfRule>
  </conditionalFormatting>
  <conditionalFormatting sqref="AM42:AN45">
    <cfRule type="cellIs" dxfId="6" priority="141" stopIfTrue="1" operator="lessThanOrEqual">
      <formula>10.9</formula>
    </cfRule>
    <cfRule type="cellIs" dxfId="3" priority="142" stopIfTrue="1" operator="lessThan">
      <formula>11</formula>
    </cfRule>
    <cfRule type="cellIs" dxfId="4" priority="143" stopIfTrue="1" operator="greaterThan">
      <formula>10</formula>
    </cfRule>
    <cfRule type="cellIs" dxfId="5" priority="144" stopIfTrue="1" operator="lessThan">
      <formula>11</formula>
    </cfRule>
  </conditionalFormatting>
  <conditionalFormatting sqref="Y44:AA45">
    <cfRule type="cellIs" dxfId="3" priority="204" stopIfTrue="1" operator="lessThan">
      <formula>11</formula>
    </cfRule>
    <cfRule type="cellIs" dxfId="4" priority="205" stopIfTrue="1" operator="greaterThan">
      <formula>10</formula>
    </cfRule>
    <cfRule type="cellIs" dxfId="5" priority="206" stopIfTrue="1" operator="lessThan">
      <formula>11</formula>
    </cfRule>
  </conditionalFormatting>
  <printOptions horizontalCentered="1"/>
  <pageMargins left="0.118110236220472" right="0.118110236220472" top="0.393700787401575" bottom="0.393700787401575" header="0.31496062992126" footer="0.31496062992126"/>
  <pageSetup paperSize="9" scale="75" orientation="landscape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G47"/>
  <sheetViews>
    <sheetView zoomScale="110" zoomScaleNormal="110" topLeftCell="B3" workbookViewId="0">
      <pane xSplit="1" ySplit="1" topLeftCell="BN4" activePane="bottomRight" state="frozen"/>
      <selection/>
      <selection pane="topRight"/>
      <selection pane="bottomLeft"/>
      <selection pane="bottomRight" activeCell="CR7" sqref="CR7:CR18"/>
    </sheetView>
  </sheetViews>
  <sheetFormatPr defaultColWidth="11.3714285714286" defaultRowHeight="13.5" customHeight="1"/>
  <cols>
    <col min="1" max="1" width="3.75238095238095" customWidth="1"/>
    <col min="2" max="2" width="43.3714285714286" customWidth="1"/>
    <col min="3" max="108" width="3.24761904761905" customWidth="1"/>
  </cols>
  <sheetData>
    <row r="2" ht="45" customHeight="1" spans="2:2">
      <c r="B2" s="124" t="s">
        <v>210</v>
      </c>
    </row>
    <row r="4" ht="45.75" customHeight="1" spans="1:108">
      <c r="A4" s="125"/>
      <c r="B4" s="126" t="s">
        <v>253</v>
      </c>
      <c r="C4" s="127" t="s">
        <v>254</v>
      </c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63" t="s">
        <v>64</v>
      </c>
      <c r="T4" s="163"/>
      <c r="U4" s="163"/>
      <c r="V4" s="163"/>
      <c r="W4" s="163"/>
      <c r="X4" s="163"/>
      <c r="Y4" s="163"/>
      <c r="Z4" s="163"/>
      <c r="AA4" s="163"/>
      <c r="AB4" s="163"/>
      <c r="AC4" s="163"/>
      <c r="AD4" s="163"/>
      <c r="AE4" s="163"/>
      <c r="AF4" s="163"/>
      <c r="AG4" s="163"/>
      <c r="AH4" s="163"/>
      <c r="AI4" s="163"/>
      <c r="AJ4" s="163"/>
      <c r="AK4" s="163"/>
      <c r="AL4" s="163"/>
      <c r="AM4" s="163"/>
      <c r="AN4" s="163"/>
      <c r="AO4" s="163"/>
      <c r="AP4" s="163"/>
      <c r="AQ4" s="163"/>
      <c r="AR4" s="163"/>
      <c r="AS4" s="163"/>
      <c r="AT4" s="163"/>
      <c r="AU4" s="163"/>
      <c r="AV4" s="163"/>
      <c r="AW4" s="163"/>
      <c r="AX4" s="163"/>
      <c r="AY4" s="163"/>
      <c r="AZ4" s="163"/>
      <c r="BA4" s="163"/>
      <c r="BB4" s="163"/>
      <c r="BC4" s="163"/>
      <c r="BD4" s="163"/>
      <c r="BE4" s="163"/>
      <c r="BF4" s="163"/>
      <c r="BG4" s="163"/>
      <c r="BH4" s="163"/>
      <c r="BI4" s="163"/>
      <c r="BJ4" s="163"/>
      <c r="BK4" s="163"/>
      <c r="BL4" s="163"/>
      <c r="BM4" s="163"/>
      <c r="BN4" s="163"/>
      <c r="BO4" s="163"/>
      <c r="BP4" s="163"/>
      <c r="BQ4" s="163"/>
      <c r="BR4" s="163"/>
      <c r="BS4" s="163"/>
      <c r="BT4" s="163"/>
      <c r="BU4" s="163"/>
      <c r="BV4" s="163"/>
      <c r="BW4" s="163"/>
      <c r="BX4" s="163"/>
      <c r="BY4" s="222"/>
      <c r="BZ4" s="223" t="s">
        <v>65</v>
      </c>
      <c r="CA4" s="224"/>
      <c r="CB4" s="224"/>
      <c r="CC4" s="224"/>
      <c r="CD4" s="224"/>
      <c r="CE4" s="224"/>
      <c r="CF4" s="224"/>
      <c r="CG4" s="224"/>
      <c r="CH4" s="224"/>
      <c r="CI4" s="224"/>
      <c r="CJ4" s="224"/>
      <c r="CK4" s="224"/>
      <c r="CL4" s="224"/>
      <c r="CM4" s="224"/>
      <c r="CN4" s="224"/>
      <c r="CO4" s="224"/>
      <c r="CP4" s="224"/>
      <c r="CQ4" s="224"/>
      <c r="CR4" s="224"/>
      <c r="CS4" s="224"/>
      <c r="CT4" s="224"/>
      <c r="CU4" s="224"/>
      <c r="CV4" s="224"/>
      <c r="CW4" s="224"/>
      <c r="CX4" s="224"/>
      <c r="CY4" s="224"/>
      <c r="CZ4" s="224"/>
      <c r="DA4" s="224"/>
      <c r="DB4" s="224"/>
      <c r="DC4" s="224"/>
      <c r="DD4" s="236"/>
    </row>
    <row r="5" ht="15" spans="1:108">
      <c r="A5" s="129" t="s">
        <v>66</v>
      </c>
      <c r="B5" s="130" t="s">
        <v>67</v>
      </c>
      <c r="C5" s="131" t="s">
        <v>68</v>
      </c>
      <c r="D5" s="132"/>
      <c r="E5" s="132"/>
      <c r="F5" s="132"/>
      <c r="G5" s="132"/>
      <c r="H5" s="133"/>
      <c r="I5" s="153" t="s">
        <v>69</v>
      </c>
      <c r="J5" s="154" t="s">
        <v>70</v>
      </c>
      <c r="K5" s="154"/>
      <c r="L5" s="154"/>
      <c r="M5" s="154"/>
      <c r="N5" s="154"/>
      <c r="O5" s="154"/>
      <c r="P5" s="154"/>
      <c r="Q5" s="154"/>
      <c r="R5" s="164" t="s">
        <v>71</v>
      </c>
      <c r="S5" s="165" t="s">
        <v>72</v>
      </c>
      <c r="T5" s="166"/>
      <c r="U5" s="166"/>
      <c r="V5" s="166"/>
      <c r="W5" s="166"/>
      <c r="X5" s="166"/>
      <c r="Y5" s="166"/>
      <c r="Z5" s="166"/>
      <c r="AA5" s="166"/>
      <c r="AB5" s="166"/>
      <c r="AC5" s="178" t="s">
        <v>73</v>
      </c>
      <c r="AD5" s="179" t="s">
        <v>74</v>
      </c>
      <c r="AE5" s="180"/>
      <c r="AF5" s="180"/>
      <c r="AG5" s="180"/>
      <c r="AH5" s="199"/>
      <c r="AI5" s="131" t="s">
        <v>75</v>
      </c>
      <c r="AJ5" s="132"/>
      <c r="AK5" s="132"/>
      <c r="AL5" s="132"/>
      <c r="AM5" s="132"/>
      <c r="AN5" s="132"/>
      <c r="AO5" s="132"/>
      <c r="AP5" s="132"/>
      <c r="AQ5" s="132"/>
      <c r="AR5" s="132"/>
      <c r="AS5" s="132"/>
      <c r="AT5" s="133"/>
      <c r="AU5" s="180" t="s">
        <v>76</v>
      </c>
      <c r="AV5" s="207" t="s">
        <v>77</v>
      </c>
      <c r="AW5" s="213"/>
      <c r="AX5" s="213"/>
      <c r="AY5" s="213"/>
      <c r="AZ5" s="213"/>
      <c r="BA5" s="213"/>
      <c r="BB5" s="214"/>
      <c r="BC5" s="180" t="s">
        <v>78</v>
      </c>
      <c r="BD5" s="165" t="s">
        <v>79</v>
      </c>
      <c r="BE5" s="166"/>
      <c r="BF5" s="166"/>
      <c r="BG5" s="166"/>
      <c r="BH5" s="166"/>
      <c r="BI5" s="166"/>
      <c r="BJ5" s="166"/>
      <c r="BK5" s="180" t="s">
        <v>80</v>
      </c>
      <c r="BL5" s="217" t="s">
        <v>81</v>
      </c>
      <c r="BM5" s="220"/>
      <c r="BN5" s="220"/>
      <c r="BO5" s="220"/>
      <c r="BP5" s="220"/>
      <c r="BQ5" s="220"/>
      <c r="BR5" s="220"/>
      <c r="BS5" s="220"/>
      <c r="BT5" s="221"/>
      <c r="BU5" s="180" t="s">
        <v>82</v>
      </c>
      <c r="BV5" s="179" t="s">
        <v>74</v>
      </c>
      <c r="BW5" s="180"/>
      <c r="BX5" s="180"/>
      <c r="BY5" s="180"/>
      <c r="BZ5" s="199"/>
      <c r="CA5" s="207" t="s">
        <v>83</v>
      </c>
      <c r="CB5" s="213"/>
      <c r="CC5" s="213"/>
      <c r="CD5" s="213"/>
      <c r="CE5" s="213"/>
      <c r="CF5" s="213"/>
      <c r="CG5" s="213"/>
      <c r="CH5" s="178" t="s">
        <v>84</v>
      </c>
      <c r="CI5" s="165" t="s">
        <v>85</v>
      </c>
      <c r="CJ5" s="166"/>
      <c r="CK5" s="166"/>
      <c r="CL5" s="166"/>
      <c r="CM5" s="166"/>
      <c r="CN5" s="166"/>
      <c r="CO5" s="166"/>
      <c r="CP5" s="166"/>
      <c r="CQ5" s="166"/>
      <c r="CR5" s="178" t="s">
        <v>86</v>
      </c>
      <c r="CS5" s="217"/>
      <c r="CT5" s="220"/>
      <c r="CU5" s="220"/>
      <c r="CV5" s="221"/>
      <c r="CW5" s="131" t="s">
        <v>87</v>
      </c>
      <c r="CX5" s="132"/>
      <c r="CY5" s="132"/>
      <c r="CZ5" s="132"/>
      <c r="DA5" s="132"/>
      <c r="DB5" s="132"/>
      <c r="DC5" s="132"/>
      <c r="DD5" s="178"/>
    </row>
    <row r="6" ht="82.55" spans="1:109">
      <c r="A6" s="134"/>
      <c r="B6" s="130"/>
      <c r="C6" s="135"/>
      <c r="D6" s="135">
        <f>K6-7</f>
        <v>45803</v>
      </c>
      <c r="E6" s="135">
        <f>D6+1</f>
        <v>45804</v>
      </c>
      <c r="F6" s="135">
        <f>D6+4</f>
        <v>45807</v>
      </c>
      <c r="G6" s="135"/>
      <c r="H6" s="136" t="s">
        <v>88</v>
      </c>
      <c r="I6" s="136" t="s">
        <v>89</v>
      </c>
      <c r="J6" s="155"/>
      <c r="K6" s="156">
        <v>45810</v>
      </c>
      <c r="L6" s="155">
        <f>K6+1</f>
        <v>45811</v>
      </c>
      <c r="M6" s="155">
        <f>K6+4</f>
        <v>45814</v>
      </c>
      <c r="N6" s="155" t="s">
        <v>255</v>
      </c>
      <c r="O6" s="157" t="s">
        <v>256</v>
      </c>
      <c r="P6" s="155"/>
      <c r="Q6" s="136" t="s">
        <v>88</v>
      </c>
      <c r="R6" s="136" t="s">
        <v>89</v>
      </c>
      <c r="S6" s="167" t="s">
        <v>255</v>
      </c>
      <c r="T6" s="167">
        <f>K6+7</f>
        <v>45817</v>
      </c>
      <c r="U6" s="167">
        <f>T6+1</f>
        <v>45818</v>
      </c>
      <c r="V6" s="167">
        <f>T6+4</f>
        <v>45821</v>
      </c>
      <c r="W6" s="168" t="s">
        <v>214</v>
      </c>
      <c r="X6" s="169" t="s">
        <v>215</v>
      </c>
      <c r="Y6" s="181" t="s">
        <v>216</v>
      </c>
      <c r="Z6" s="182" t="s">
        <v>257</v>
      </c>
      <c r="AA6" s="182" t="s">
        <v>90</v>
      </c>
      <c r="AB6" s="136" t="s">
        <v>88</v>
      </c>
      <c r="AC6" s="136" t="s">
        <v>89</v>
      </c>
      <c r="AD6" s="183"/>
      <c r="AE6" s="183"/>
      <c r="AF6" s="183"/>
      <c r="AG6" s="183"/>
      <c r="AH6" s="183"/>
      <c r="AI6" s="200" t="s">
        <v>258</v>
      </c>
      <c r="AJ6" s="135">
        <f>T6+7</f>
        <v>45824</v>
      </c>
      <c r="AK6" s="135">
        <f>AJ6+1</f>
        <v>45825</v>
      </c>
      <c r="AL6" s="135">
        <f>AJ6+4</f>
        <v>45828</v>
      </c>
      <c r="AM6" s="168" t="s">
        <v>259</v>
      </c>
      <c r="AN6" s="169" t="s">
        <v>215</v>
      </c>
      <c r="AO6" s="181" t="s">
        <v>216</v>
      </c>
      <c r="AP6" s="208" t="s">
        <v>260</v>
      </c>
      <c r="AQ6" s="208" t="s">
        <v>261</v>
      </c>
      <c r="AR6" s="169" t="s">
        <v>90</v>
      </c>
      <c r="AS6" s="157" t="s">
        <v>262</v>
      </c>
      <c r="AT6" s="136" t="s">
        <v>88</v>
      </c>
      <c r="AU6" s="136" t="s">
        <v>89</v>
      </c>
      <c r="AV6" s="200" t="s">
        <v>258</v>
      </c>
      <c r="AW6" s="155">
        <f>AJ6+7</f>
        <v>45831</v>
      </c>
      <c r="AX6" s="155">
        <f>AW6+1</f>
        <v>45832</v>
      </c>
      <c r="AY6" s="155">
        <f>AW6+4</f>
        <v>45835</v>
      </c>
      <c r="AZ6" s="168" t="s">
        <v>259</v>
      </c>
      <c r="BA6" s="215" t="s">
        <v>263</v>
      </c>
      <c r="BB6" s="136" t="s">
        <v>88</v>
      </c>
      <c r="BC6" s="136" t="s">
        <v>89</v>
      </c>
      <c r="BD6" s="200" t="s">
        <v>212</v>
      </c>
      <c r="BE6" s="167">
        <f>AW6+7</f>
        <v>45838</v>
      </c>
      <c r="BF6" s="167">
        <f>BE6+1</f>
        <v>45839</v>
      </c>
      <c r="BG6" s="167">
        <f>BE6+4</f>
        <v>45842</v>
      </c>
      <c r="BH6" s="215" t="s">
        <v>264</v>
      </c>
      <c r="BI6" s="168" t="s">
        <v>259</v>
      </c>
      <c r="BJ6" s="136" t="s">
        <v>88</v>
      </c>
      <c r="BK6" s="136" t="s">
        <v>89</v>
      </c>
      <c r="BL6" s="183"/>
      <c r="BM6" s="183">
        <f>BE6+7</f>
        <v>45845</v>
      </c>
      <c r="BN6" s="183">
        <f>BM6+1</f>
        <v>45846</v>
      </c>
      <c r="BO6" s="183">
        <f>BM6+4</f>
        <v>45849</v>
      </c>
      <c r="BP6" s="168" t="s">
        <v>259</v>
      </c>
      <c r="BQ6" s="215" t="s">
        <v>264</v>
      </c>
      <c r="BR6" s="200" t="s">
        <v>265</v>
      </c>
      <c r="BS6" s="200" t="s">
        <v>265</v>
      </c>
      <c r="BT6" s="136" t="s">
        <v>88</v>
      </c>
      <c r="BU6" s="136" t="s">
        <v>89</v>
      </c>
      <c r="BV6" s="135"/>
      <c r="BW6" s="135"/>
      <c r="BX6" s="135"/>
      <c r="BY6" s="135"/>
      <c r="BZ6" s="135"/>
      <c r="CA6" s="200" t="s">
        <v>212</v>
      </c>
      <c r="CB6" s="155">
        <f>BM6+7</f>
        <v>45852</v>
      </c>
      <c r="CC6" s="208">
        <f>CB6+1</f>
        <v>45853</v>
      </c>
      <c r="CD6" s="208">
        <f>CB6+4</f>
        <v>45856</v>
      </c>
      <c r="CE6" s="215" t="s">
        <v>263</v>
      </c>
      <c r="CF6" s="168" t="s">
        <v>259</v>
      </c>
      <c r="CG6" s="136" t="s">
        <v>88</v>
      </c>
      <c r="CH6" s="136" t="s">
        <v>89</v>
      </c>
      <c r="CI6" s="200" t="s">
        <v>212</v>
      </c>
      <c r="CJ6" s="167">
        <f>CB6+7</f>
        <v>45859</v>
      </c>
      <c r="CK6" s="167">
        <f>CJ6+1</f>
        <v>45860</v>
      </c>
      <c r="CL6" s="167">
        <f>CJ6+4</f>
        <v>45863</v>
      </c>
      <c r="CM6" s="167"/>
      <c r="CN6" s="215" t="s">
        <v>264</v>
      </c>
      <c r="CO6" s="215" t="s">
        <v>263</v>
      </c>
      <c r="CP6" s="168" t="s">
        <v>259</v>
      </c>
      <c r="CQ6" s="136" t="s">
        <v>88</v>
      </c>
      <c r="CR6" s="136" t="s">
        <v>89</v>
      </c>
      <c r="CS6" s="183"/>
      <c r="CT6" s="168" t="s">
        <v>259</v>
      </c>
      <c r="CU6" s="168" t="s">
        <v>259</v>
      </c>
      <c r="CV6" s="183"/>
      <c r="CW6" s="135"/>
      <c r="CX6" s="135"/>
      <c r="CY6" s="135"/>
      <c r="CZ6" s="135"/>
      <c r="DA6" s="135"/>
      <c r="DB6" s="135"/>
      <c r="DC6" s="136" t="s">
        <v>88</v>
      </c>
      <c r="DD6" s="136" t="s">
        <v>89</v>
      </c>
      <c r="DE6" t="s">
        <v>99</v>
      </c>
    </row>
    <row r="7" ht="15" spans="1:111">
      <c r="A7" s="137">
        <v>1</v>
      </c>
      <c r="B7" s="138" t="str">
        <f>'RELACION ESTUDIANTES - 2022'!D6</f>
        <v>APUMAITA GUTIERREZ JULIO LUCIANO</v>
      </c>
      <c r="C7" s="139"/>
      <c r="D7" s="139" t="s">
        <v>102</v>
      </c>
      <c r="E7" s="139" t="s">
        <v>102</v>
      </c>
      <c r="F7" s="139" t="s">
        <v>105</v>
      </c>
      <c r="G7" s="139"/>
      <c r="H7" s="139" t="str">
        <f t="shared" ref="H7:H18" si="0">Q7</f>
        <v>B</v>
      </c>
      <c r="I7" s="158" t="s">
        <v>102</v>
      </c>
      <c r="J7" s="159"/>
      <c r="K7" s="159" t="s">
        <v>100</v>
      </c>
      <c r="L7" s="159" t="s">
        <v>105</v>
      </c>
      <c r="M7" s="159" t="s">
        <v>101</v>
      </c>
      <c r="N7" s="159"/>
      <c r="O7" s="159"/>
      <c r="P7" s="159"/>
      <c r="Q7" s="159" t="str">
        <f t="shared" ref="Q7:Q18" si="1">AB7</f>
        <v>B</v>
      </c>
      <c r="R7" s="158" t="s">
        <v>102</v>
      </c>
      <c r="S7" s="170"/>
      <c r="T7" s="171" t="s">
        <v>100</v>
      </c>
      <c r="U7" s="171" t="s">
        <v>105</v>
      </c>
      <c r="V7" s="171" t="s">
        <v>101</v>
      </c>
      <c r="W7" s="172"/>
      <c r="X7" s="173"/>
      <c r="Y7" s="184"/>
      <c r="Z7" s="185"/>
      <c r="AA7" s="185"/>
      <c r="AB7" s="170" t="str">
        <f t="shared" ref="AB7:AB18" si="2">AT7</f>
        <v>B</v>
      </c>
      <c r="AC7" s="158" t="s">
        <v>102</v>
      </c>
      <c r="AD7" s="186"/>
      <c r="AE7" s="187"/>
      <c r="AF7" s="187"/>
      <c r="AG7" s="187"/>
      <c r="AH7" s="186"/>
      <c r="AI7" s="201" t="s">
        <v>100</v>
      </c>
      <c r="AJ7" s="148" t="s">
        <v>100</v>
      </c>
      <c r="AK7" s="148" t="s">
        <v>102</v>
      </c>
      <c r="AL7" s="148" t="s">
        <v>102</v>
      </c>
      <c r="AM7" s="202" t="s">
        <v>102</v>
      </c>
      <c r="AN7" s="173"/>
      <c r="AO7" s="184"/>
      <c r="AP7" s="148"/>
      <c r="AQ7" s="203"/>
      <c r="AR7" s="209"/>
      <c r="AS7" s="148"/>
      <c r="AT7" s="148" t="str">
        <f t="shared" ref="AT7:AT18" si="3">BB7</f>
        <v>B</v>
      </c>
      <c r="AU7" s="158" t="s">
        <v>102</v>
      </c>
      <c r="AV7" s="201" t="s">
        <v>100</v>
      </c>
      <c r="AW7" s="159" t="s">
        <v>103</v>
      </c>
      <c r="AX7" s="159" t="s">
        <v>102</v>
      </c>
      <c r="AY7" s="159" t="s">
        <v>102</v>
      </c>
      <c r="AZ7" s="202" t="s">
        <v>102</v>
      </c>
      <c r="BA7" s="210" t="s">
        <v>102</v>
      </c>
      <c r="BB7" s="159" t="str">
        <f t="shared" ref="BB7:BB18" si="4">BJ7</f>
        <v>B</v>
      </c>
      <c r="BC7" s="158" t="s">
        <v>102</v>
      </c>
      <c r="BD7" s="201"/>
      <c r="BE7" s="171" t="s">
        <v>101</v>
      </c>
      <c r="BF7" s="171" t="s">
        <v>105</v>
      </c>
      <c r="BG7" s="171" t="s">
        <v>105</v>
      </c>
      <c r="BH7" s="210" t="s">
        <v>102</v>
      </c>
      <c r="BI7" s="202" t="s">
        <v>102</v>
      </c>
      <c r="BJ7" s="171" t="str">
        <f t="shared" ref="BJ7:BJ18" si="5">BT7</f>
        <v>B</v>
      </c>
      <c r="BK7" s="158" t="s">
        <v>102</v>
      </c>
      <c r="BL7" s="190"/>
      <c r="BM7" s="189" t="s">
        <v>105</v>
      </c>
      <c r="BN7" s="189" t="s">
        <v>105</v>
      </c>
      <c r="BO7" s="189" t="s">
        <v>102</v>
      </c>
      <c r="BP7" s="202" t="s">
        <v>102</v>
      </c>
      <c r="BQ7" s="210" t="s">
        <v>102</v>
      </c>
      <c r="BR7" s="201"/>
      <c r="BS7" s="201"/>
      <c r="BT7" s="189" t="str">
        <f t="shared" ref="BT7:BT18" si="6">CG7</f>
        <v>B</v>
      </c>
      <c r="BU7" s="158" t="s">
        <v>102</v>
      </c>
      <c r="BV7" s="139"/>
      <c r="BW7" s="139"/>
      <c r="BX7" s="139"/>
      <c r="BY7" s="139"/>
      <c r="BZ7" s="139"/>
      <c r="CA7" s="201"/>
      <c r="CB7" s="225" t="s">
        <v>100</v>
      </c>
      <c r="CC7" s="225" t="s">
        <v>101</v>
      </c>
      <c r="CD7" s="225" t="s">
        <v>100</v>
      </c>
      <c r="CE7" s="210" t="s">
        <v>102</v>
      </c>
      <c r="CF7" s="202" t="s">
        <v>102</v>
      </c>
      <c r="CG7" s="225" t="str">
        <f t="shared" ref="CG7:CG18" si="7">CQ7</f>
        <v>B</v>
      </c>
      <c r="CH7" s="158" t="s">
        <v>101</v>
      </c>
      <c r="CI7" s="201"/>
      <c r="CJ7" s="230" t="s">
        <v>105</v>
      </c>
      <c r="CK7" s="230" t="s">
        <v>102</v>
      </c>
      <c r="CL7" s="230"/>
      <c r="CM7" s="230"/>
      <c r="CN7" s="210" t="s">
        <v>102</v>
      </c>
      <c r="CO7" s="210" t="s">
        <v>102</v>
      </c>
      <c r="CP7" s="202"/>
      <c r="CQ7" s="232" t="str">
        <f t="shared" ref="CQ7:CQ18" si="8">DE7</f>
        <v>B</v>
      </c>
      <c r="CR7" s="158" t="s">
        <v>102</v>
      </c>
      <c r="CS7" s="186"/>
      <c r="CT7" s="202" t="s">
        <v>105</v>
      </c>
      <c r="CU7" s="202" t="s">
        <v>100</v>
      </c>
      <c r="CV7" s="186"/>
      <c r="CW7" s="139"/>
      <c r="CX7" s="139"/>
      <c r="CY7" s="139"/>
      <c r="CZ7" s="139"/>
      <c r="DA7" s="139"/>
      <c r="DB7" s="139"/>
      <c r="DC7" s="139"/>
      <c r="DD7" s="139"/>
      <c r="DE7" s="237" t="s">
        <v>102</v>
      </c>
      <c r="DF7">
        <f t="shared" ref="DF7:DF36" si="9">COUNTIF(AC7:DB7,"OK")</f>
        <v>0</v>
      </c>
      <c r="DG7">
        <f>DF7*2+4</f>
        <v>4</v>
      </c>
    </row>
    <row r="8" ht="15" spans="1:111">
      <c r="A8" s="137">
        <v>2</v>
      </c>
      <c r="B8" s="138" t="str">
        <f>'RELACION ESTUDIANTES - 2022'!D7</f>
        <v>CABRERA ORTIZ THIAGO ARMANDO</v>
      </c>
      <c r="C8" s="139"/>
      <c r="D8" s="139" t="s">
        <v>102</v>
      </c>
      <c r="E8" s="139" t="s">
        <v>102</v>
      </c>
      <c r="F8" s="139" t="s">
        <v>100</v>
      </c>
      <c r="G8" s="139"/>
      <c r="H8" s="139" t="str">
        <f t="shared" si="0"/>
        <v>A</v>
      </c>
      <c r="I8" s="158" t="s">
        <v>101</v>
      </c>
      <c r="J8" s="159"/>
      <c r="K8" s="159" t="s">
        <v>105</v>
      </c>
      <c r="L8" s="159" t="s">
        <v>102</v>
      </c>
      <c r="M8" s="159" t="s">
        <v>101</v>
      </c>
      <c r="N8" s="159"/>
      <c r="O8" s="159"/>
      <c r="P8" s="159"/>
      <c r="Q8" s="159" t="str">
        <f t="shared" si="1"/>
        <v>A</v>
      </c>
      <c r="R8" s="158" t="s">
        <v>102</v>
      </c>
      <c r="S8" s="170"/>
      <c r="T8" s="171" t="s">
        <v>100</v>
      </c>
      <c r="U8" s="171" t="s">
        <v>105</v>
      </c>
      <c r="V8" s="171" t="s">
        <v>101</v>
      </c>
      <c r="W8" s="172"/>
      <c r="X8" s="173"/>
      <c r="Y8" s="184"/>
      <c r="Z8" s="188"/>
      <c r="AA8" s="185"/>
      <c r="AB8" s="170" t="str">
        <f t="shared" si="2"/>
        <v>A</v>
      </c>
      <c r="AC8" s="158" t="s">
        <v>102</v>
      </c>
      <c r="AD8" s="189"/>
      <c r="AE8" s="190"/>
      <c r="AF8" s="190"/>
      <c r="AG8" s="190"/>
      <c r="AH8" s="189"/>
      <c r="AI8" s="201"/>
      <c r="AJ8" s="148" t="s">
        <v>105</v>
      </c>
      <c r="AK8" s="148" t="s">
        <v>105</v>
      </c>
      <c r="AL8" s="148" t="s">
        <v>101</v>
      </c>
      <c r="AM8" s="202" t="s">
        <v>102</v>
      </c>
      <c r="AN8" s="173"/>
      <c r="AO8" s="184"/>
      <c r="AP8" s="148"/>
      <c r="AQ8" s="148"/>
      <c r="AR8" s="209"/>
      <c r="AS8" s="148"/>
      <c r="AT8" s="148" t="str">
        <f t="shared" si="3"/>
        <v>A</v>
      </c>
      <c r="AU8" s="158" t="s">
        <v>102</v>
      </c>
      <c r="AV8" s="201"/>
      <c r="AW8" s="159" t="s">
        <v>266</v>
      </c>
      <c r="AX8" s="159" t="s">
        <v>101</v>
      </c>
      <c r="AY8" s="159" t="s">
        <v>102</v>
      </c>
      <c r="AZ8" s="202" t="s">
        <v>102</v>
      </c>
      <c r="BA8" s="210" t="s">
        <v>105</v>
      </c>
      <c r="BB8" s="159" t="str">
        <f t="shared" si="4"/>
        <v>A</v>
      </c>
      <c r="BC8" s="158" t="s">
        <v>102</v>
      </c>
      <c r="BD8" s="201"/>
      <c r="BE8" s="171" t="s">
        <v>101</v>
      </c>
      <c r="BF8" s="171" t="s">
        <v>105</v>
      </c>
      <c r="BG8" s="171" t="s">
        <v>105</v>
      </c>
      <c r="BH8" s="210" t="s">
        <v>101</v>
      </c>
      <c r="BI8" s="202" t="s">
        <v>102</v>
      </c>
      <c r="BJ8" s="171" t="str">
        <f t="shared" si="5"/>
        <v>A</v>
      </c>
      <c r="BK8" s="158" t="s">
        <v>102</v>
      </c>
      <c r="BL8" s="190"/>
      <c r="BM8" s="189" t="s">
        <v>102</v>
      </c>
      <c r="BN8" s="189" t="s">
        <v>101</v>
      </c>
      <c r="BO8" s="189" t="s">
        <v>105</v>
      </c>
      <c r="BP8" s="202" t="s">
        <v>102</v>
      </c>
      <c r="BQ8" s="210" t="s">
        <v>101</v>
      </c>
      <c r="BR8" s="201"/>
      <c r="BS8" s="201"/>
      <c r="BT8" s="189" t="str">
        <f t="shared" si="6"/>
        <v>A</v>
      </c>
      <c r="BU8" s="158" t="s">
        <v>102</v>
      </c>
      <c r="BV8" s="148"/>
      <c r="BW8" s="148"/>
      <c r="BX8" s="148"/>
      <c r="BY8" s="148"/>
      <c r="BZ8" s="148"/>
      <c r="CA8" s="201"/>
      <c r="CB8" s="225" t="s">
        <v>100</v>
      </c>
      <c r="CC8" s="225" t="s">
        <v>101</v>
      </c>
      <c r="CD8" s="225" t="s">
        <v>100</v>
      </c>
      <c r="CE8" s="210" t="s">
        <v>105</v>
      </c>
      <c r="CF8" s="202" t="s">
        <v>102</v>
      </c>
      <c r="CG8" s="225" t="str">
        <f t="shared" si="7"/>
        <v>A</v>
      </c>
      <c r="CH8" s="158" t="s">
        <v>101</v>
      </c>
      <c r="CI8" s="201"/>
      <c r="CJ8" s="230" t="s">
        <v>100</v>
      </c>
      <c r="CK8" s="230" t="s">
        <v>102</v>
      </c>
      <c r="CL8" s="230"/>
      <c r="CM8" s="230"/>
      <c r="CN8" s="210" t="s">
        <v>101</v>
      </c>
      <c r="CO8" s="210" t="s">
        <v>105</v>
      </c>
      <c r="CP8" s="202"/>
      <c r="CQ8" s="232" t="str">
        <f t="shared" si="8"/>
        <v>A</v>
      </c>
      <c r="CR8" s="158" t="s">
        <v>101</v>
      </c>
      <c r="CS8" s="189"/>
      <c r="CT8" s="202" t="s">
        <v>105</v>
      </c>
      <c r="CU8" s="202" t="s">
        <v>100</v>
      </c>
      <c r="CV8" s="189"/>
      <c r="CW8" s="148"/>
      <c r="CX8" s="148"/>
      <c r="CY8" s="148"/>
      <c r="CZ8" s="148"/>
      <c r="DA8" s="139"/>
      <c r="DB8" s="139"/>
      <c r="DC8" s="139"/>
      <c r="DD8" s="139"/>
      <c r="DE8" s="237" t="s">
        <v>101</v>
      </c>
      <c r="DF8">
        <f t="shared" si="9"/>
        <v>0</v>
      </c>
      <c r="DG8">
        <f t="shared" ref="DG8:DG21" si="10">DF8*2+4</f>
        <v>4</v>
      </c>
    </row>
    <row r="9" ht="15" spans="1:111">
      <c r="A9" s="137">
        <v>3</v>
      </c>
      <c r="B9" s="138" t="str">
        <f>'RELACION ESTUDIANTES - 2022'!D8</f>
        <v>CACERES CAHUANA JESUS ANDRES</v>
      </c>
      <c r="C9" s="139"/>
      <c r="D9" s="140" t="s">
        <v>102</v>
      </c>
      <c r="E9" s="139" t="s">
        <v>101</v>
      </c>
      <c r="F9" s="139" t="s">
        <v>100</v>
      </c>
      <c r="G9" s="139"/>
      <c r="H9" s="139" t="str">
        <f t="shared" si="0"/>
        <v>A</v>
      </c>
      <c r="I9" s="158" t="s">
        <v>101</v>
      </c>
      <c r="J9" s="159"/>
      <c r="K9" s="159" t="s">
        <v>100</v>
      </c>
      <c r="L9" s="159" t="s">
        <v>100</v>
      </c>
      <c r="M9" s="160" t="s">
        <v>102</v>
      </c>
      <c r="N9" s="159" t="s">
        <v>100</v>
      </c>
      <c r="O9" s="159"/>
      <c r="P9" s="159"/>
      <c r="Q9" s="159" t="str">
        <f t="shared" si="1"/>
        <v>A</v>
      </c>
      <c r="R9" s="158" t="s">
        <v>101</v>
      </c>
      <c r="S9" s="170" t="s">
        <v>100</v>
      </c>
      <c r="T9" s="171" t="s">
        <v>101</v>
      </c>
      <c r="U9" s="171" t="s">
        <v>100</v>
      </c>
      <c r="V9" s="171" t="s">
        <v>100</v>
      </c>
      <c r="W9" s="172"/>
      <c r="X9" s="173"/>
      <c r="Y9" s="184"/>
      <c r="Z9" s="188"/>
      <c r="AA9" s="185"/>
      <c r="AB9" s="170" t="str">
        <f t="shared" si="2"/>
        <v>A</v>
      </c>
      <c r="AC9" s="158" t="s">
        <v>100</v>
      </c>
      <c r="AD9" s="189"/>
      <c r="AE9" s="190"/>
      <c r="AF9" s="190"/>
      <c r="AG9" s="190"/>
      <c r="AH9" s="189"/>
      <c r="AI9" s="201"/>
      <c r="AJ9" s="203" t="s">
        <v>100</v>
      </c>
      <c r="AK9" s="148" t="s">
        <v>105</v>
      </c>
      <c r="AL9" s="148" t="s">
        <v>101</v>
      </c>
      <c r="AM9" s="202" t="s">
        <v>101</v>
      </c>
      <c r="AN9" s="173"/>
      <c r="AO9" s="184"/>
      <c r="AP9" s="203"/>
      <c r="AQ9" s="148"/>
      <c r="AR9" s="209"/>
      <c r="AS9" s="148"/>
      <c r="AT9" s="148" t="str">
        <f t="shared" si="3"/>
        <v>A</v>
      </c>
      <c r="AU9" s="158" t="s">
        <v>102</v>
      </c>
      <c r="AV9" s="201"/>
      <c r="AW9" s="159" t="s">
        <v>106</v>
      </c>
      <c r="AX9" s="159" t="s">
        <v>101</v>
      </c>
      <c r="AY9" s="159" t="s">
        <v>102</v>
      </c>
      <c r="AZ9" s="202" t="s">
        <v>101</v>
      </c>
      <c r="BA9" s="210" t="s">
        <v>101</v>
      </c>
      <c r="BB9" s="159" t="str">
        <f t="shared" si="4"/>
        <v>A</v>
      </c>
      <c r="BC9" s="158" t="s">
        <v>101</v>
      </c>
      <c r="BD9" s="201"/>
      <c r="BE9" s="171" t="s">
        <v>100</v>
      </c>
      <c r="BF9" s="171" t="s">
        <v>101</v>
      </c>
      <c r="BG9" s="171" t="s">
        <v>102</v>
      </c>
      <c r="BH9" s="210" t="s">
        <v>101</v>
      </c>
      <c r="BI9" s="202" t="s">
        <v>101</v>
      </c>
      <c r="BJ9" s="171" t="str">
        <f t="shared" si="5"/>
        <v>A</v>
      </c>
      <c r="BK9" s="158" t="s">
        <v>101</v>
      </c>
      <c r="BL9" s="190"/>
      <c r="BM9" s="189" t="s">
        <v>100</v>
      </c>
      <c r="BN9" s="189" t="s">
        <v>101</v>
      </c>
      <c r="BO9" s="189" t="s">
        <v>100</v>
      </c>
      <c r="BP9" s="202" t="s">
        <v>101</v>
      </c>
      <c r="BQ9" s="210" t="s">
        <v>101</v>
      </c>
      <c r="BR9" s="201"/>
      <c r="BS9" s="201"/>
      <c r="BT9" s="189" t="str">
        <f t="shared" si="6"/>
        <v>A</v>
      </c>
      <c r="BU9" s="158" t="s">
        <v>101</v>
      </c>
      <c r="BV9" s="148"/>
      <c r="BW9" s="148"/>
      <c r="BX9" s="148"/>
      <c r="BY9" s="148"/>
      <c r="BZ9" s="148"/>
      <c r="CA9" s="201"/>
      <c r="CB9" s="225" t="s">
        <v>100</v>
      </c>
      <c r="CC9" s="225" t="s">
        <v>101</v>
      </c>
      <c r="CD9" s="225" t="s">
        <v>100</v>
      </c>
      <c r="CE9" s="210" t="s">
        <v>101</v>
      </c>
      <c r="CF9" s="202" t="s">
        <v>101</v>
      </c>
      <c r="CG9" s="225" t="str">
        <f t="shared" si="7"/>
        <v>A</v>
      </c>
      <c r="CH9" s="158" t="s">
        <v>101</v>
      </c>
      <c r="CI9" s="201"/>
      <c r="CJ9" s="230" t="s">
        <v>101</v>
      </c>
      <c r="CK9" s="230" t="s">
        <v>101</v>
      </c>
      <c r="CL9" s="230"/>
      <c r="CM9" s="230"/>
      <c r="CN9" s="210" t="s">
        <v>101</v>
      </c>
      <c r="CO9" s="210" t="s">
        <v>101</v>
      </c>
      <c r="CP9" s="202"/>
      <c r="CQ9" s="232" t="str">
        <f t="shared" si="8"/>
        <v>A</v>
      </c>
      <c r="CR9" s="158" t="s">
        <v>101</v>
      </c>
      <c r="CS9" s="189"/>
      <c r="CT9" s="202" t="s">
        <v>102</v>
      </c>
      <c r="CU9" s="202" t="s">
        <v>100</v>
      </c>
      <c r="CV9" s="189"/>
      <c r="CW9" s="148"/>
      <c r="CX9" s="148"/>
      <c r="CY9" s="148"/>
      <c r="CZ9" s="148"/>
      <c r="DA9" s="139"/>
      <c r="DB9" s="139"/>
      <c r="DC9" s="139"/>
      <c r="DD9" s="139"/>
      <c r="DE9" s="237" t="s">
        <v>101</v>
      </c>
      <c r="DF9">
        <f t="shared" si="9"/>
        <v>0</v>
      </c>
      <c r="DG9">
        <f t="shared" si="10"/>
        <v>4</v>
      </c>
    </row>
    <row r="10" ht="15" spans="1:111">
      <c r="A10" s="137">
        <v>4</v>
      </c>
      <c r="B10" s="138" t="str">
        <f>'RELACION ESTUDIANTES - 2022'!D9</f>
        <v>DE LA CRUZ SIGUAS LUIS ALBERTO</v>
      </c>
      <c r="C10" s="139"/>
      <c r="D10" s="139" t="s">
        <v>105</v>
      </c>
      <c r="E10" s="139" t="s">
        <v>101</v>
      </c>
      <c r="F10" s="139" t="s">
        <v>100</v>
      </c>
      <c r="G10" s="139"/>
      <c r="H10" s="139" t="str">
        <f t="shared" si="0"/>
        <v>B</v>
      </c>
      <c r="I10" s="158" t="s">
        <v>102</v>
      </c>
      <c r="J10" s="159"/>
      <c r="K10" s="159" t="s">
        <v>105</v>
      </c>
      <c r="L10" s="159" t="s">
        <v>101</v>
      </c>
      <c r="M10" s="159" t="s">
        <v>105</v>
      </c>
      <c r="N10" s="159" t="s">
        <v>100</v>
      </c>
      <c r="O10" s="159"/>
      <c r="P10" s="159"/>
      <c r="Q10" s="159" t="str">
        <f t="shared" si="1"/>
        <v>B</v>
      </c>
      <c r="R10" s="158" t="s">
        <v>102</v>
      </c>
      <c r="S10" s="170" t="s">
        <v>100</v>
      </c>
      <c r="T10" s="171" t="s">
        <v>102</v>
      </c>
      <c r="U10" s="171" t="s">
        <v>105</v>
      </c>
      <c r="V10" s="171" t="s">
        <v>105</v>
      </c>
      <c r="W10" s="172"/>
      <c r="X10" s="173"/>
      <c r="Y10" s="184"/>
      <c r="Z10" s="188"/>
      <c r="AA10" s="185"/>
      <c r="AB10" s="170" t="str">
        <f t="shared" si="2"/>
        <v>B</v>
      </c>
      <c r="AC10" s="158" t="s">
        <v>102</v>
      </c>
      <c r="AD10" s="189"/>
      <c r="AE10" s="190"/>
      <c r="AF10" s="190"/>
      <c r="AG10" s="190"/>
      <c r="AH10" s="189"/>
      <c r="AI10" s="201" t="s">
        <v>100</v>
      </c>
      <c r="AJ10" s="148" t="s">
        <v>102</v>
      </c>
      <c r="AK10" s="148" t="s">
        <v>102</v>
      </c>
      <c r="AL10" s="148" t="s">
        <v>105</v>
      </c>
      <c r="AM10" s="202" t="s">
        <v>102</v>
      </c>
      <c r="AN10" s="173"/>
      <c r="AO10" s="184"/>
      <c r="AP10" s="148"/>
      <c r="AQ10" s="148"/>
      <c r="AR10" s="209"/>
      <c r="AS10" s="148"/>
      <c r="AT10" s="148" t="str">
        <f t="shared" si="3"/>
        <v>B</v>
      </c>
      <c r="AU10" s="158" t="s">
        <v>102</v>
      </c>
      <c r="AV10" s="201" t="s">
        <v>100</v>
      </c>
      <c r="AW10" s="159" t="s">
        <v>267</v>
      </c>
      <c r="AX10" s="159" t="s">
        <v>102</v>
      </c>
      <c r="AY10" s="159" t="s">
        <v>105</v>
      </c>
      <c r="AZ10" s="202" t="s">
        <v>102</v>
      </c>
      <c r="BA10" s="210" t="s">
        <v>105</v>
      </c>
      <c r="BB10" s="159" t="str">
        <f t="shared" si="4"/>
        <v>B</v>
      </c>
      <c r="BC10" s="158" t="s">
        <v>102</v>
      </c>
      <c r="BD10" s="201"/>
      <c r="BE10" s="171" t="s">
        <v>105</v>
      </c>
      <c r="BF10" s="171" t="s">
        <v>105</v>
      </c>
      <c r="BG10" s="171" t="s">
        <v>101</v>
      </c>
      <c r="BH10" s="210" t="s">
        <v>105</v>
      </c>
      <c r="BI10" s="202" t="s">
        <v>102</v>
      </c>
      <c r="BJ10" s="171" t="str">
        <f t="shared" si="5"/>
        <v>B</v>
      </c>
      <c r="BK10" s="158" t="s">
        <v>102</v>
      </c>
      <c r="BL10" s="190"/>
      <c r="BM10" s="189" t="s">
        <v>102</v>
      </c>
      <c r="BN10" s="189" t="s">
        <v>105</v>
      </c>
      <c r="BO10" s="189" t="s">
        <v>102</v>
      </c>
      <c r="BP10" s="202" t="s">
        <v>102</v>
      </c>
      <c r="BQ10" s="210" t="s">
        <v>105</v>
      </c>
      <c r="BR10" s="201"/>
      <c r="BS10" s="201"/>
      <c r="BT10" s="189" t="str">
        <f t="shared" si="6"/>
        <v>B</v>
      </c>
      <c r="BU10" s="158" t="s">
        <v>102</v>
      </c>
      <c r="BV10" s="148"/>
      <c r="BW10" s="148"/>
      <c r="BX10" s="148"/>
      <c r="BY10" s="148"/>
      <c r="BZ10" s="148"/>
      <c r="CA10" s="201"/>
      <c r="CB10" s="225" t="s">
        <v>105</v>
      </c>
      <c r="CC10" s="225" t="s">
        <v>102</v>
      </c>
      <c r="CD10" s="225" t="s">
        <v>100</v>
      </c>
      <c r="CE10" s="210" t="s">
        <v>105</v>
      </c>
      <c r="CF10" s="202" t="s">
        <v>102</v>
      </c>
      <c r="CG10" s="225" t="str">
        <f t="shared" si="7"/>
        <v>B</v>
      </c>
      <c r="CH10" s="158" t="s">
        <v>102</v>
      </c>
      <c r="CI10" s="201"/>
      <c r="CJ10" s="230" t="s">
        <v>102</v>
      </c>
      <c r="CK10" s="230" t="s">
        <v>102</v>
      </c>
      <c r="CL10" s="230"/>
      <c r="CM10" s="230"/>
      <c r="CN10" s="210" t="s">
        <v>105</v>
      </c>
      <c r="CO10" s="210" t="s">
        <v>105</v>
      </c>
      <c r="CP10" s="202"/>
      <c r="CQ10" s="232" t="str">
        <f t="shared" si="8"/>
        <v>B</v>
      </c>
      <c r="CR10" s="158" t="s">
        <v>102</v>
      </c>
      <c r="CS10" s="189"/>
      <c r="CT10" s="202" t="s">
        <v>105</v>
      </c>
      <c r="CU10" s="202" t="s">
        <v>100</v>
      </c>
      <c r="CV10" s="189"/>
      <c r="CW10" s="148"/>
      <c r="CX10" s="148"/>
      <c r="CY10" s="148"/>
      <c r="CZ10" s="148"/>
      <c r="DA10" s="139"/>
      <c r="DB10" s="139"/>
      <c r="DC10" s="139"/>
      <c r="DD10" s="139"/>
      <c r="DE10" s="237" t="s">
        <v>102</v>
      </c>
      <c r="DF10">
        <f t="shared" si="9"/>
        <v>0</v>
      </c>
      <c r="DG10">
        <f t="shared" si="10"/>
        <v>4</v>
      </c>
    </row>
    <row r="11" ht="15" spans="1:111">
      <c r="A11" s="137">
        <v>5</v>
      </c>
      <c r="B11" s="138" t="str">
        <f>'RELACION ESTUDIANTES - 2022'!D10</f>
        <v>HERNANDEZ PEÑA JOSEPH ANDREE</v>
      </c>
      <c r="C11" s="139"/>
      <c r="D11" s="139" t="s">
        <v>105</v>
      </c>
      <c r="E11" s="139" t="s">
        <v>102</v>
      </c>
      <c r="F11" s="139" t="s">
        <v>105</v>
      </c>
      <c r="G11" s="139"/>
      <c r="H11" s="139" t="str">
        <f t="shared" si="0"/>
        <v>B</v>
      </c>
      <c r="I11" s="158" t="s">
        <v>102</v>
      </c>
      <c r="J11" s="159"/>
      <c r="K11" s="159" t="s">
        <v>100</v>
      </c>
      <c r="L11" s="159" t="s">
        <v>105</v>
      </c>
      <c r="M11" s="159" t="s">
        <v>101</v>
      </c>
      <c r="N11" s="159"/>
      <c r="O11" s="159"/>
      <c r="P11" s="159"/>
      <c r="Q11" s="159" t="str">
        <f t="shared" si="1"/>
        <v>B</v>
      </c>
      <c r="R11" s="158" t="s">
        <v>102</v>
      </c>
      <c r="S11" s="170"/>
      <c r="T11" s="171" t="s">
        <v>105</v>
      </c>
      <c r="U11" s="171" t="s">
        <v>105</v>
      </c>
      <c r="V11" s="171" t="s">
        <v>101</v>
      </c>
      <c r="W11" s="172"/>
      <c r="X11" s="173"/>
      <c r="Y11" s="184"/>
      <c r="Z11" s="188"/>
      <c r="AA11" s="185"/>
      <c r="AB11" s="170" t="str">
        <f t="shared" si="2"/>
        <v>B</v>
      </c>
      <c r="AC11" s="158" t="s">
        <v>102</v>
      </c>
      <c r="AD11" s="189"/>
      <c r="AE11" s="190"/>
      <c r="AF11" s="190"/>
      <c r="AG11" s="190"/>
      <c r="AH11" s="189"/>
      <c r="AI11" s="201" t="s">
        <v>100</v>
      </c>
      <c r="AJ11" s="148" t="s">
        <v>100</v>
      </c>
      <c r="AK11" s="148" t="s">
        <v>102</v>
      </c>
      <c r="AL11" s="148" t="s">
        <v>105</v>
      </c>
      <c r="AM11" s="202" t="s">
        <v>102</v>
      </c>
      <c r="AN11" s="173"/>
      <c r="AO11" s="184"/>
      <c r="AP11" s="148"/>
      <c r="AQ11" s="148"/>
      <c r="AR11" s="209"/>
      <c r="AS11" s="148"/>
      <c r="AT11" s="148" t="str">
        <f t="shared" si="3"/>
        <v>B</v>
      </c>
      <c r="AU11" s="158" t="s">
        <v>102</v>
      </c>
      <c r="AV11" s="201" t="s">
        <v>100</v>
      </c>
      <c r="AW11" s="159"/>
      <c r="AX11" s="159" t="s">
        <v>102</v>
      </c>
      <c r="AY11" s="159" t="s">
        <v>102</v>
      </c>
      <c r="AZ11" s="202" t="s">
        <v>102</v>
      </c>
      <c r="BA11" s="210" t="s">
        <v>105</v>
      </c>
      <c r="BB11" s="159" t="str">
        <f t="shared" si="4"/>
        <v>B</v>
      </c>
      <c r="BC11" s="158" t="s">
        <v>102</v>
      </c>
      <c r="BD11" s="201"/>
      <c r="BE11" s="171" t="s">
        <v>105</v>
      </c>
      <c r="BF11" s="171" t="s">
        <v>101</v>
      </c>
      <c r="BG11" s="171" t="s">
        <v>105</v>
      </c>
      <c r="BH11" s="210" t="s">
        <v>105</v>
      </c>
      <c r="BI11" s="202" t="s">
        <v>102</v>
      </c>
      <c r="BJ11" s="171" t="str">
        <f t="shared" si="5"/>
        <v>B</v>
      </c>
      <c r="BK11" s="158" t="s">
        <v>105</v>
      </c>
      <c r="BL11" s="190"/>
      <c r="BM11" s="189" t="s">
        <v>102</v>
      </c>
      <c r="BN11" s="189" t="s">
        <v>101</v>
      </c>
      <c r="BO11" s="189" t="s">
        <v>105</v>
      </c>
      <c r="BP11" s="202" t="s">
        <v>102</v>
      </c>
      <c r="BQ11" s="210" t="s">
        <v>105</v>
      </c>
      <c r="BR11" s="201"/>
      <c r="BS11" s="201"/>
      <c r="BT11" s="189" t="str">
        <f t="shared" si="6"/>
        <v>B</v>
      </c>
      <c r="BU11" s="158" t="s">
        <v>102</v>
      </c>
      <c r="BV11" s="148"/>
      <c r="BW11" s="148"/>
      <c r="BX11" s="148"/>
      <c r="BY11" s="148"/>
      <c r="BZ11" s="148"/>
      <c r="CA11" s="201"/>
      <c r="CB11" s="225" t="s">
        <v>100</v>
      </c>
      <c r="CC11" s="225" t="s">
        <v>102</v>
      </c>
      <c r="CD11" s="225" t="s">
        <v>100</v>
      </c>
      <c r="CE11" s="210" t="s">
        <v>105</v>
      </c>
      <c r="CF11" s="202" t="s">
        <v>102</v>
      </c>
      <c r="CG11" s="225" t="str">
        <f t="shared" si="7"/>
        <v>B</v>
      </c>
      <c r="CH11" s="158" t="s">
        <v>102</v>
      </c>
      <c r="CI11" s="201"/>
      <c r="CJ11" s="230" t="s">
        <v>101</v>
      </c>
      <c r="CK11" s="230" t="s">
        <v>105</v>
      </c>
      <c r="CL11" s="230"/>
      <c r="CM11" s="230"/>
      <c r="CN11" s="210" t="s">
        <v>105</v>
      </c>
      <c r="CO11" s="210" t="s">
        <v>105</v>
      </c>
      <c r="CP11" s="202"/>
      <c r="CQ11" s="232" t="str">
        <f t="shared" si="8"/>
        <v>B</v>
      </c>
      <c r="CR11" s="158" t="s">
        <v>105</v>
      </c>
      <c r="CS11" s="189"/>
      <c r="CT11" s="202" t="s">
        <v>105</v>
      </c>
      <c r="CU11" s="202" t="s">
        <v>100</v>
      </c>
      <c r="CV11" s="189"/>
      <c r="CW11" s="148"/>
      <c r="CX11" s="148"/>
      <c r="CY11" s="148"/>
      <c r="CZ11" s="148"/>
      <c r="DA11" s="139"/>
      <c r="DB11" s="139"/>
      <c r="DC11" s="139"/>
      <c r="DD11" s="139"/>
      <c r="DE11" s="237" t="s">
        <v>102</v>
      </c>
      <c r="DF11">
        <f t="shared" si="9"/>
        <v>0</v>
      </c>
      <c r="DG11">
        <f t="shared" si="10"/>
        <v>4</v>
      </c>
    </row>
    <row r="12" s="121" customFormat="1" ht="15" spans="1:111">
      <c r="A12" s="141">
        <v>6</v>
      </c>
      <c r="B12" s="142" t="str">
        <f>'RELACION ESTUDIANTES - 2022'!D11</f>
        <v>JUAREZ LEGUA VICTOR DANIEL</v>
      </c>
      <c r="C12" s="143"/>
      <c r="D12" s="139" t="s">
        <v>101</v>
      </c>
      <c r="E12" s="139" t="s">
        <v>101</v>
      </c>
      <c r="F12" s="139" t="s">
        <v>100</v>
      </c>
      <c r="G12" s="143"/>
      <c r="H12" s="143" t="str">
        <f t="shared" si="0"/>
        <v>AD</v>
      </c>
      <c r="I12" s="143" t="s">
        <v>100</v>
      </c>
      <c r="J12" s="161"/>
      <c r="K12" s="159" t="s">
        <v>100</v>
      </c>
      <c r="L12" s="159" t="s">
        <v>100</v>
      </c>
      <c r="M12" s="159" t="s">
        <v>101</v>
      </c>
      <c r="N12" s="161" t="s">
        <v>100</v>
      </c>
      <c r="O12" s="161"/>
      <c r="P12" s="161"/>
      <c r="Q12" s="161" t="str">
        <f t="shared" si="1"/>
        <v>AD</v>
      </c>
      <c r="R12" s="143" t="s">
        <v>100</v>
      </c>
      <c r="S12" s="174" t="s">
        <v>100</v>
      </c>
      <c r="T12" s="171" t="s">
        <v>100</v>
      </c>
      <c r="U12" s="171" t="s">
        <v>100</v>
      </c>
      <c r="V12" s="171" t="s">
        <v>101</v>
      </c>
      <c r="W12" s="172"/>
      <c r="X12" s="173"/>
      <c r="Y12" s="184"/>
      <c r="Z12" s="188"/>
      <c r="AA12" s="185"/>
      <c r="AB12" s="174" t="str">
        <f t="shared" si="2"/>
        <v>AD</v>
      </c>
      <c r="AC12" s="143" t="s">
        <v>100</v>
      </c>
      <c r="AD12" s="191"/>
      <c r="AE12" s="192"/>
      <c r="AF12" s="192"/>
      <c r="AG12" s="192"/>
      <c r="AH12" s="191"/>
      <c r="AI12" s="201" t="s">
        <v>100</v>
      </c>
      <c r="AJ12" s="203" t="s">
        <v>100</v>
      </c>
      <c r="AK12" s="148" t="s">
        <v>102</v>
      </c>
      <c r="AL12" s="148" t="s">
        <v>100</v>
      </c>
      <c r="AM12" s="202" t="s">
        <v>102</v>
      </c>
      <c r="AN12" s="173"/>
      <c r="AO12" s="184"/>
      <c r="AP12" s="204"/>
      <c r="AQ12" s="204"/>
      <c r="AR12" s="209"/>
      <c r="AS12" s="204"/>
      <c r="AT12" s="204" t="str">
        <f t="shared" si="3"/>
        <v>AD</v>
      </c>
      <c r="AU12" s="143" t="s">
        <v>101</v>
      </c>
      <c r="AV12" s="201" t="s">
        <v>100</v>
      </c>
      <c r="AW12" s="161"/>
      <c r="AX12" s="159" t="s">
        <v>101</v>
      </c>
      <c r="AY12" s="161" t="s">
        <v>102</v>
      </c>
      <c r="AZ12" s="202" t="s">
        <v>102</v>
      </c>
      <c r="BA12" s="210" t="s">
        <v>100</v>
      </c>
      <c r="BB12" s="161" t="str">
        <f t="shared" si="4"/>
        <v>AD</v>
      </c>
      <c r="BC12" s="143" t="s">
        <v>101</v>
      </c>
      <c r="BD12" s="175"/>
      <c r="BE12" s="218" t="s">
        <v>101</v>
      </c>
      <c r="BF12" s="171" t="s">
        <v>101</v>
      </c>
      <c r="BG12" s="171" t="s">
        <v>100</v>
      </c>
      <c r="BH12" s="210" t="s">
        <v>100</v>
      </c>
      <c r="BI12" s="202" t="s">
        <v>102</v>
      </c>
      <c r="BJ12" s="175" t="str">
        <f t="shared" si="5"/>
        <v>AD</v>
      </c>
      <c r="BK12" s="143" t="s">
        <v>101</v>
      </c>
      <c r="BL12" s="192"/>
      <c r="BM12" s="189" t="s">
        <v>100</v>
      </c>
      <c r="BN12" s="189" t="s">
        <v>101</v>
      </c>
      <c r="BO12" s="189" t="s">
        <v>101</v>
      </c>
      <c r="BP12" s="202" t="s">
        <v>102</v>
      </c>
      <c r="BQ12" s="210" t="s">
        <v>100</v>
      </c>
      <c r="BR12" s="175"/>
      <c r="BS12" s="201"/>
      <c r="BT12" s="191" t="str">
        <f t="shared" si="6"/>
        <v>AD</v>
      </c>
      <c r="BU12" s="143" t="s">
        <v>101</v>
      </c>
      <c r="BV12" s="204"/>
      <c r="BW12" s="204"/>
      <c r="BX12" s="204"/>
      <c r="BY12" s="204"/>
      <c r="BZ12" s="204"/>
      <c r="CA12" s="175"/>
      <c r="CB12" s="225" t="s">
        <v>100</v>
      </c>
      <c r="CC12" s="225" t="s">
        <v>101</v>
      </c>
      <c r="CD12" s="225" t="s">
        <v>100</v>
      </c>
      <c r="CE12" s="210" t="s">
        <v>100</v>
      </c>
      <c r="CF12" s="202" t="s">
        <v>102</v>
      </c>
      <c r="CG12" s="143" t="str">
        <f t="shared" si="7"/>
        <v>AD</v>
      </c>
      <c r="CH12" s="143" t="s">
        <v>101</v>
      </c>
      <c r="CI12" s="175"/>
      <c r="CJ12" s="216" t="s">
        <v>100</v>
      </c>
      <c r="CK12" s="230" t="s">
        <v>102</v>
      </c>
      <c r="CL12" s="216"/>
      <c r="CM12" s="216"/>
      <c r="CN12" s="210" t="s">
        <v>100</v>
      </c>
      <c r="CO12" s="210" t="s">
        <v>100</v>
      </c>
      <c r="CP12" s="216"/>
      <c r="CQ12" s="233" t="str">
        <f t="shared" si="8"/>
        <v>AD</v>
      </c>
      <c r="CR12" s="143" t="s">
        <v>100</v>
      </c>
      <c r="CS12" s="191"/>
      <c r="CT12" s="202" t="s">
        <v>105</v>
      </c>
      <c r="CU12" s="202" t="s">
        <v>100</v>
      </c>
      <c r="CV12" s="191"/>
      <c r="CW12" s="204"/>
      <c r="CX12" s="204"/>
      <c r="CY12" s="204"/>
      <c r="CZ12" s="204"/>
      <c r="DA12" s="161"/>
      <c r="DB12" s="161"/>
      <c r="DC12" s="161"/>
      <c r="DD12" s="161"/>
      <c r="DE12" s="238" t="s">
        <v>100</v>
      </c>
      <c r="DF12" s="121">
        <f t="shared" si="9"/>
        <v>0</v>
      </c>
      <c r="DG12" s="121">
        <f t="shared" si="10"/>
        <v>4</v>
      </c>
    </row>
    <row r="13" ht="15" spans="1:111">
      <c r="A13" s="137">
        <v>7</v>
      </c>
      <c r="B13" s="138" t="str">
        <f>'RELACION ESTUDIANTES - 2022'!D12</f>
        <v>MEJIA SIMON VICENTE MISAEL</v>
      </c>
      <c r="C13" s="139"/>
      <c r="D13" s="139" t="s">
        <v>102</v>
      </c>
      <c r="E13" s="139" t="s">
        <v>101</v>
      </c>
      <c r="F13" s="139" t="s">
        <v>100</v>
      </c>
      <c r="G13" s="139"/>
      <c r="H13" s="139" t="str">
        <f t="shared" si="0"/>
        <v>AD</v>
      </c>
      <c r="I13" s="158" t="s">
        <v>101</v>
      </c>
      <c r="J13" s="159"/>
      <c r="K13" s="159" t="s">
        <v>100</v>
      </c>
      <c r="L13" s="159" t="s">
        <v>100</v>
      </c>
      <c r="M13" s="159" t="s">
        <v>101</v>
      </c>
      <c r="N13" s="159" t="s">
        <v>100</v>
      </c>
      <c r="O13" s="159"/>
      <c r="P13" s="159"/>
      <c r="Q13" s="159" t="str">
        <f t="shared" si="1"/>
        <v>AD</v>
      </c>
      <c r="R13" s="158" t="s">
        <v>100</v>
      </c>
      <c r="S13" s="170" t="s">
        <v>100</v>
      </c>
      <c r="T13" s="171" t="s">
        <v>101</v>
      </c>
      <c r="U13" s="171" t="s">
        <v>100</v>
      </c>
      <c r="V13" s="171" t="s">
        <v>100</v>
      </c>
      <c r="W13" s="172"/>
      <c r="X13" s="173"/>
      <c r="Y13" s="184"/>
      <c r="Z13" s="188"/>
      <c r="AA13" s="185"/>
      <c r="AB13" s="170" t="str">
        <f t="shared" si="2"/>
        <v>AD</v>
      </c>
      <c r="AC13" s="158" t="s">
        <v>100</v>
      </c>
      <c r="AD13" s="189"/>
      <c r="AE13" s="190"/>
      <c r="AF13" s="190"/>
      <c r="AG13" s="190"/>
      <c r="AH13" s="195"/>
      <c r="AI13" s="201" t="s">
        <v>100</v>
      </c>
      <c r="AJ13" s="148" t="s">
        <v>102</v>
      </c>
      <c r="AK13" s="148" t="s">
        <v>102</v>
      </c>
      <c r="AL13" s="148" t="s">
        <v>102</v>
      </c>
      <c r="AM13" s="202" t="s">
        <v>102</v>
      </c>
      <c r="AN13" s="173"/>
      <c r="AO13" s="184"/>
      <c r="AP13" s="203"/>
      <c r="AQ13" s="148"/>
      <c r="AR13" s="209"/>
      <c r="AS13" s="148"/>
      <c r="AT13" s="148" t="str">
        <f t="shared" si="3"/>
        <v>AD</v>
      </c>
      <c r="AU13" s="158" t="s">
        <v>102</v>
      </c>
      <c r="AV13" s="201" t="s">
        <v>100</v>
      </c>
      <c r="AW13" s="159"/>
      <c r="AX13" s="159" t="s">
        <v>101</v>
      </c>
      <c r="AY13" s="159" t="s">
        <v>102</v>
      </c>
      <c r="AZ13" s="202" t="s">
        <v>102</v>
      </c>
      <c r="BA13" s="210" t="s">
        <v>102</v>
      </c>
      <c r="BB13" s="159" t="str">
        <f t="shared" si="4"/>
        <v>AD</v>
      </c>
      <c r="BC13" s="158" t="s">
        <v>101</v>
      </c>
      <c r="BD13" s="201"/>
      <c r="BE13" s="171" t="s">
        <v>101</v>
      </c>
      <c r="BF13" s="171" t="s">
        <v>101</v>
      </c>
      <c r="BG13" s="171" t="s">
        <v>100</v>
      </c>
      <c r="BH13" s="210" t="s">
        <v>100</v>
      </c>
      <c r="BI13" s="202" t="s">
        <v>102</v>
      </c>
      <c r="BJ13" s="171" t="str">
        <f t="shared" si="5"/>
        <v>AD</v>
      </c>
      <c r="BK13" s="158" t="s">
        <v>101</v>
      </c>
      <c r="BL13" s="190"/>
      <c r="BM13" s="189" t="s">
        <v>102</v>
      </c>
      <c r="BN13" s="189" t="s">
        <v>101</v>
      </c>
      <c r="BO13" s="189" t="s">
        <v>102</v>
      </c>
      <c r="BP13" s="202" t="s">
        <v>102</v>
      </c>
      <c r="BQ13" s="210" t="s">
        <v>100</v>
      </c>
      <c r="BR13" s="201"/>
      <c r="BS13" s="201"/>
      <c r="BT13" s="189" t="str">
        <f t="shared" si="6"/>
        <v>AD</v>
      </c>
      <c r="BU13" s="158" t="s">
        <v>101</v>
      </c>
      <c r="BV13" s="148"/>
      <c r="BW13" s="148"/>
      <c r="BX13" s="148"/>
      <c r="BY13" s="148"/>
      <c r="BZ13" s="211"/>
      <c r="CA13" s="201"/>
      <c r="CB13" s="225" t="s">
        <v>100</v>
      </c>
      <c r="CC13" s="225" t="s">
        <v>101</v>
      </c>
      <c r="CD13" s="225" t="s">
        <v>100</v>
      </c>
      <c r="CE13" s="210" t="s">
        <v>102</v>
      </c>
      <c r="CF13" s="202" t="s">
        <v>102</v>
      </c>
      <c r="CG13" s="225" t="str">
        <f t="shared" si="7"/>
        <v>AD</v>
      </c>
      <c r="CH13" s="158" t="s">
        <v>101</v>
      </c>
      <c r="CI13" s="201"/>
      <c r="CJ13" s="230" t="s">
        <v>105</v>
      </c>
      <c r="CK13" s="230" t="s">
        <v>101</v>
      </c>
      <c r="CL13" s="230"/>
      <c r="CM13" s="230"/>
      <c r="CN13" s="210" t="s">
        <v>100</v>
      </c>
      <c r="CO13" s="210" t="s">
        <v>102</v>
      </c>
      <c r="CP13" s="202"/>
      <c r="CQ13" s="232" t="str">
        <f t="shared" si="8"/>
        <v>AD</v>
      </c>
      <c r="CR13" s="158" t="s">
        <v>101</v>
      </c>
      <c r="CS13" s="189"/>
      <c r="CT13" s="202" t="s">
        <v>105</v>
      </c>
      <c r="CU13" s="202" t="s">
        <v>100</v>
      </c>
      <c r="CV13" s="195"/>
      <c r="CW13" s="148"/>
      <c r="CX13" s="148"/>
      <c r="CY13" s="148"/>
      <c r="CZ13" s="211"/>
      <c r="DA13" s="148"/>
      <c r="DB13" s="148"/>
      <c r="DC13" s="148"/>
      <c r="DD13" s="148"/>
      <c r="DE13" s="237" t="s">
        <v>100</v>
      </c>
      <c r="DF13">
        <f t="shared" si="9"/>
        <v>0</v>
      </c>
      <c r="DG13">
        <f t="shared" si="10"/>
        <v>4</v>
      </c>
    </row>
    <row r="14" ht="15" spans="1:111">
      <c r="A14" s="137">
        <v>8</v>
      </c>
      <c r="B14" s="138" t="str">
        <f>'RELACION ESTUDIANTES - 2022'!D13</f>
        <v>MEZA CARDENAS FERNANDO ALEXANDER</v>
      </c>
      <c r="C14" s="139"/>
      <c r="D14" s="140" t="s">
        <v>102</v>
      </c>
      <c r="E14" s="139" t="s">
        <v>101</v>
      </c>
      <c r="F14" s="139" t="s">
        <v>100</v>
      </c>
      <c r="G14" s="139"/>
      <c r="H14" s="139" t="str">
        <f t="shared" si="0"/>
        <v>A</v>
      </c>
      <c r="I14" s="158" t="s">
        <v>101</v>
      </c>
      <c r="J14" s="159"/>
      <c r="K14" s="159" t="s">
        <v>100</v>
      </c>
      <c r="L14" s="159" t="s">
        <v>105</v>
      </c>
      <c r="M14" s="159" t="s">
        <v>105</v>
      </c>
      <c r="N14" s="159" t="s">
        <v>100</v>
      </c>
      <c r="O14" s="159"/>
      <c r="P14" s="159"/>
      <c r="Q14" s="159" t="str">
        <f t="shared" si="1"/>
        <v>A</v>
      </c>
      <c r="R14" s="158" t="s">
        <v>102</v>
      </c>
      <c r="S14" s="170" t="s">
        <v>100</v>
      </c>
      <c r="T14" s="171" t="s">
        <v>100</v>
      </c>
      <c r="U14" s="171" t="s">
        <v>101</v>
      </c>
      <c r="V14" s="171" t="s">
        <v>101</v>
      </c>
      <c r="W14" s="172"/>
      <c r="X14" s="173"/>
      <c r="Y14" s="184"/>
      <c r="Z14" s="188"/>
      <c r="AA14" s="185"/>
      <c r="AB14" s="170" t="str">
        <f t="shared" si="2"/>
        <v>A</v>
      </c>
      <c r="AC14" s="158" t="s">
        <v>101</v>
      </c>
      <c r="AD14" s="189"/>
      <c r="AE14" s="190"/>
      <c r="AF14" s="190"/>
      <c r="AG14" s="190"/>
      <c r="AH14" s="189"/>
      <c r="AI14" s="201" t="s">
        <v>100</v>
      </c>
      <c r="AJ14" s="148" t="s">
        <v>100</v>
      </c>
      <c r="AK14" s="148" t="s">
        <v>102</v>
      </c>
      <c r="AL14" s="148" t="s">
        <v>101</v>
      </c>
      <c r="AM14" s="202" t="s">
        <v>102</v>
      </c>
      <c r="AN14" s="173"/>
      <c r="AO14" s="184"/>
      <c r="AP14" s="148"/>
      <c r="AQ14" s="203"/>
      <c r="AR14" s="209"/>
      <c r="AS14" s="148"/>
      <c r="AT14" s="148" t="str">
        <f t="shared" si="3"/>
        <v>A</v>
      </c>
      <c r="AU14" s="158" t="s">
        <v>101</v>
      </c>
      <c r="AV14" s="201" t="s">
        <v>100</v>
      </c>
      <c r="AW14" s="159"/>
      <c r="AX14" s="159" t="s">
        <v>101</v>
      </c>
      <c r="AY14" s="159" t="s">
        <v>100</v>
      </c>
      <c r="AZ14" s="202" t="s">
        <v>102</v>
      </c>
      <c r="BA14" s="210" t="s">
        <v>102</v>
      </c>
      <c r="BB14" s="159" t="str">
        <f t="shared" si="4"/>
        <v>A</v>
      </c>
      <c r="BC14" s="158" t="s">
        <v>101</v>
      </c>
      <c r="BD14" s="201"/>
      <c r="BE14" s="171" t="s">
        <v>101</v>
      </c>
      <c r="BF14" s="171" t="s">
        <v>101</v>
      </c>
      <c r="BG14" s="171" t="s">
        <v>102</v>
      </c>
      <c r="BH14" s="210" t="s">
        <v>101</v>
      </c>
      <c r="BI14" s="202" t="s">
        <v>102</v>
      </c>
      <c r="BJ14" s="171" t="str">
        <f t="shared" si="5"/>
        <v>A</v>
      </c>
      <c r="BK14" s="158" t="s">
        <v>101</v>
      </c>
      <c r="BL14" s="190"/>
      <c r="BM14" s="189" t="s">
        <v>100</v>
      </c>
      <c r="BN14" s="189" t="s">
        <v>101</v>
      </c>
      <c r="BO14" s="189" t="s">
        <v>101</v>
      </c>
      <c r="BP14" s="202" t="s">
        <v>102</v>
      </c>
      <c r="BQ14" s="210" t="s">
        <v>101</v>
      </c>
      <c r="BR14" s="201"/>
      <c r="BS14" s="201"/>
      <c r="BT14" s="189" t="str">
        <f t="shared" si="6"/>
        <v>A</v>
      </c>
      <c r="BU14" s="158" t="s">
        <v>101</v>
      </c>
      <c r="BV14" s="148"/>
      <c r="BW14" s="148"/>
      <c r="BX14" s="148"/>
      <c r="BY14" s="148"/>
      <c r="BZ14" s="148"/>
      <c r="CA14" s="201"/>
      <c r="CB14" s="225" t="s">
        <v>100</v>
      </c>
      <c r="CC14" s="225" t="s">
        <v>101</v>
      </c>
      <c r="CD14" s="225" t="s">
        <v>100</v>
      </c>
      <c r="CE14" s="210" t="s">
        <v>102</v>
      </c>
      <c r="CF14" s="202" t="s">
        <v>102</v>
      </c>
      <c r="CG14" s="225" t="str">
        <f t="shared" si="7"/>
        <v>A</v>
      </c>
      <c r="CH14" s="158" t="s">
        <v>101</v>
      </c>
      <c r="CI14" s="201"/>
      <c r="CJ14" s="230" t="s">
        <v>100</v>
      </c>
      <c r="CK14" s="230" t="s">
        <v>101</v>
      </c>
      <c r="CL14" s="230"/>
      <c r="CM14" s="230"/>
      <c r="CN14" s="210" t="s">
        <v>101</v>
      </c>
      <c r="CO14" s="210" t="s">
        <v>102</v>
      </c>
      <c r="CP14" s="202"/>
      <c r="CQ14" s="232" t="str">
        <f t="shared" si="8"/>
        <v>A</v>
      </c>
      <c r="CR14" s="158" t="s">
        <v>101</v>
      </c>
      <c r="CS14" s="189"/>
      <c r="CT14" s="202" t="s">
        <v>105</v>
      </c>
      <c r="CU14" s="202" t="s">
        <v>100</v>
      </c>
      <c r="CV14" s="189"/>
      <c r="CW14" s="148"/>
      <c r="CX14" s="148"/>
      <c r="CY14" s="148"/>
      <c r="CZ14" s="148"/>
      <c r="DA14" s="148"/>
      <c r="DB14" s="148"/>
      <c r="DC14" s="148"/>
      <c r="DD14" s="148"/>
      <c r="DE14" s="237" t="s">
        <v>101</v>
      </c>
      <c r="DF14">
        <f t="shared" si="9"/>
        <v>0</v>
      </c>
      <c r="DG14">
        <f t="shared" si="10"/>
        <v>4</v>
      </c>
    </row>
    <row r="15" ht="15" spans="1:111">
      <c r="A15" s="137">
        <v>9</v>
      </c>
      <c r="B15" s="138" t="str">
        <f>'RELACION ESTUDIANTES - 2022'!D14</f>
        <v>MISAICO CHAHUAILA JUAN DAVID</v>
      </c>
      <c r="C15" s="139"/>
      <c r="D15" s="139" t="s">
        <v>101</v>
      </c>
      <c r="E15" s="139" t="s">
        <v>102</v>
      </c>
      <c r="F15" s="139" t="s">
        <v>100</v>
      </c>
      <c r="G15" s="139"/>
      <c r="H15" s="139" t="str">
        <f t="shared" si="0"/>
        <v>AD</v>
      </c>
      <c r="I15" s="158" t="s">
        <v>101</v>
      </c>
      <c r="J15" s="159"/>
      <c r="K15" s="159" t="s">
        <v>105</v>
      </c>
      <c r="L15" s="159" t="s">
        <v>101</v>
      </c>
      <c r="M15" s="159" t="s">
        <v>101</v>
      </c>
      <c r="N15" s="159" t="s">
        <v>100</v>
      </c>
      <c r="O15" s="159"/>
      <c r="P15" s="159"/>
      <c r="Q15" s="159" t="str">
        <f t="shared" si="1"/>
        <v>AD</v>
      </c>
      <c r="R15" s="158" t="s">
        <v>102</v>
      </c>
      <c r="S15" s="170" t="s">
        <v>100</v>
      </c>
      <c r="T15" s="171" t="s">
        <v>102</v>
      </c>
      <c r="U15" s="171" t="s">
        <v>101</v>
      </c>
      <c r="V15" s="171" t="s">
        <v>101</v>
      </c>
      <c r="W15" s="172"/>
      <c r="X15" s="173"/>
      <c r="Y15" s="184"/>
      <c r="Z15" s="188"/>
      <c r="AA15" s="185"/>
      <c r="AB15" s="170" t="str">
        <f t="shared" si="2"/>
        <v>AD</v>
      </c>
      <c r="AC15" s="158" t="s">
        <v>101</v>
      </c>
      <c r="AD15" s="189"/>
      <c r="AE15" s="190"/>
      <c r="AF15" s="190"/>
      <c r="AG15" s="190"/>
      <c r="AH15" s="189"/>
      <c r="AI15" s="201" t="s">
        <v>100</v>
      </c>
      <c r="AJ15" s="148" t="s">
        <v>100</v>
      </c>
      <c r="AK15" s="148" t="s">
        <v>102</v>
      </c>
      <c r="AL15" s="148" t="s">
        <v>100</v>
      </c>
      <c r="AM15" s="202" t="s">
        <v>102</v>
      </c>
      <c r="AN15" s="173"/>
      <c r="AO15" s="184"/>
      <c r="AP15" s="203"/>
      <c r="AQ15" s="148"/>
      <c r="AR15" s="209"/>
      <c r="AS15" s="148"/>
      <c r="AT15" s="148" t="str">
        <f t="shared" si="3"/>
        <v>AD</v>
      </c>
      <c r="AU15" s="158" t="s">
        <v>101</v>
      </c>
      <c r="AV15" s="201" t="s">
        <v>100</v>
      </c>
      <c r="AW15" s="159"/>
      <c r="AX15" s="159" t="s">
        <v>101</v>
      </c>
      <c r="AY15" s="159" t="s">
        <v>101</v>
      </c>
      <c r="AZ15" s="202" t="s">
        <v>102</v>
      </c>
      <c r="BA15" s="210" t="s">
        <v>105</v>
      </c>
      <c r="BB15" s="159" t="str">
        <f t="shared" si="4"/>
        <v>AD</v>
      </c>
      <c r="BC15" s="158" t="s">
        <v>102</v>
      </c>
      <c r="BD15" s="201"/>
      <c r="BE15" s="171" t="s">
        <v>101</v>
      </c>
      <c r="BF15" s="171" t="s">
        <v>101</v>
      </c>
      <c r="BG15" s="171" t="s">
        <v>100</v>
      </c>
      <c r="BH15" s="210" t="s">
        <v>105</v>
      </c>
      <c r="BI15" s="202" t="s">
        <v>102</v>
      </c>
      <c r="BJ15" s="171" t="str">
        <f t="shared" si="5"/>
        <v>AD</v>
      </c>
      <c r="BK15" s="158" t="s">
        <v>101</v>
      </c>
      <c r="BL15" s="190"/>
      <c r="BM15" s="189" t="s">
        <v>102</v>
      </c>
      <c r="BN15" s="189" t="s">
        <v>101</v>
      </c>
      <c r="BO15" s="189" t="s">
        <v>101</v>
      </c>
      <c r="BP15" s="202" t="s">
        <v>102</v>
      </c>
      <c r="BQ15" s="210" t="s">
        <v>105</v>
      </c>
      <c r="BR15" s="201"/>
      <c r="BS15" s="201"/>
      <c r="BT15" s="189" t="str">
        <f t="shared" si="6"/>
        <v>AD</v>
      </c>
      <c r="BU15" s="158" t="s">
        <v>102</v>
      </c>
      <c r="BV15" s="148"/>
      <c r="BW15" s="148"/>
      <c r="BX15" s="148"/>
      <c r="BY15" s="148"/>
      <c r="BZ15" s="148"/>
      <c r="CA15" s="201"/>
      <c r="CB15" s="225" t="s">
        <v>100</v>
      </c>
      <c r="CC15" s="225" t="s">
        <v>101</v>
      </c>
      <c r="CD15" s="225" t="s">
        <v>100</v>
      </c>
      <c r="CE15" s="210" t="s">
        <v>105</v>
      </c>
      <c r="CF15" s="202" t="s">
        <v>102</v>
      </c>
      <c r="CG15" s="225" t="str">
        <f t="shared" si="7"/>
        <v>AD</v>
      </c>
      <c r="CH15" s="158" t="s">
        <v>101</v>
      </c>
      <c r="CI15" s="201"/>
      <c r="CJ15" s="230" t="s">
        <v>105</v>
      </c>
      <c r="CK15" s="230" t="s">
        <v>101</v>
      </c>
      <c r="CL15" s="230"/>
      <c r="CM15" s="230"/>
      <c r="CN15" s="210" t="s">
        <v>105</v>
      </c>
      <c r="CO15" s="210" t="s">
        <v>105</v>
      </c>
      <c r="CP15" s="202"/>
      <c r="CQ15" s="232" t="str">
        <f t="shared" si="8"/>
        <v>AD</v>
      </c>
      <c r="CR15" s="158" t="s">
        <v>105</v>
      </c>
      <c r="CS15" s="189"/>
      <c r="CT15" s="202" t="s">
        <v>105</v>
      </c>
      <c r="CU15" s="202" t="s">
        <v>100</v>
      </c>
      <c r="CV15" s="189"/>
      <c r="CW15" s="148"/>
      <c r="CX15" s="148"/>
      <c r="CY15" s="148"/>
      <c r="CZ15" s="148"/>
      <c r="DA15" s="148"/>
      <c r="DB15" s="148"/>
      <c r="DC15" s="148"/>
      <c r="DD15" s="148"/>
      <c r="DE15" s="237" t="s">
        <v>100</v>
      </c>
      <c r="DF15">
        <f t="shared" si="9"/>
        <v>0</v>
      </c>
      <c r="DG15">
        <f t="shared" si="10"/>
        <v>4</v>
      </c>
    </row>
    <row r="16" ht="15" spans="1:111">
      <c r="A16" s="137">
        <v>10</v>
      </c>
      <c r="B16" s="138" t="str">
        <f>'RELACION ESTUDIANTES - 2022'!D15</f>
        <v>MUÑOZ QUINTANILLA JACKXEL EDUARDO</v>
      </c>
      <c r="C16" s="139"/>
      <c r="D16" s="139" t="s">
        <v>105</v>
      </c>
      <c r="E16" s="139" t="s">
        <v>101</v>
      </c>
      <c r="F16" s="139" t="s">
        <v>105</v>
      </c>
      <c r="G16" s="139"/>
      <c r="H16" s="139" t="str">
        <f t="shared" si="0"/>
        <v>A</v>
      </c>
      <c r="I16" s="158" t="s">
        <v>102</v>
      </c>
      <c r="J16" s="159"/>
      <c r="K16" s="159" t="s">
        <v>100</v>
      </c>
      <c r="L16" s="159" t="s">
        <v>101</v>
      </c>
      <c r="M16" s="159" t="s">
        <v>101</v>
      </c>
      <c r="N16" s="159"/>
      <c r="O16" s="159"/>
      <c r="P16" s="159"/>
      <c r="Q16" s="159" t="str">
        <f t="shared" si="1"/>
        <v>A</v>
      </c>
      <c r="R16" s="158" t="s">
        <v>101</v>
      </c>
      <c r="S16" s="170"/>
      <c r="T16" s="171" t="s">
        <v>105</v>
      </c>
      <c r="U16" s="171" t="s">
        <v>105</v>
      </c>
      <c r="V16" s="171" t="s">
        <v>101</v>
      </c>
      <c r="W16" s="172"/>
      <c r="X16" s="173"/>
      <c r="Y16" s="184"/>
      <c r="Z16" s="185"/>
      <c r="AA16" s="185"/>
      <c r="AB16" s="170" t="str">
        <f t="shared" si="2"/>
        <v>A</v>
      </c>
      <c r="AC16" s="158" t="s">
        <v>268</v>
      </c>
      <c r="AD16" s="189"/>
      <c r="AE16" s="190"/>
      <c r="AF16" s="190"/>
      <c r="AG16" s="190"/>
      <c r="AH16" s="189"/>
      <c r="AI16" s="201" t="s">
        <v>100</v>
      </c>
      <c r="AJ16" s="148" t="s">
        <v>102</v>
      </c>
      <c r="AK16" s="148" t="s">
        <v>102</v>
      </c>
      <c r="AL16" s="148" t="s">
        <v>105</v>
      </c>
      <c r="AM16" s="202" t="s">
        <v>102</v>
      </c>
      <c r="AN16" s="173"/>
      <c r="AO16" s="184"/>
      <c r="AP16" s="203"/>
      <c r="AQ16" s="148"/>
      <c r="AR16" s="209"/>
      <c r="AS16" s="148"/>
      <c r="AT16" s="148" t="str">
        <f t="shared" si="3"/>
        <v>A</v>
      </c>
      <c r="AU16" s="158" t="s">
        <v>102</v>
      </c>
      <c r="AV16" s="201" t="s">
        <v>100</v>
      </c>
      <c r="AW16" s="159"/>
      <c r="AX16" s="159" t="s">
        <v>102</v>
      </c>
      <c r="AY16" s="159" t="s">
        <v>102</v>
      </c>
      <c r="AZ16" s="202" t="s">
        <v>102</v>
      </c>
      <c r="BA16" s="210" t="s">
        <v>105</v>
      </c>
      <c r="BB16" s="159" t="str">
        <f t="shared" si="4"/>
        <v>A</v>
      </c>
      <c r="BC16" s="158" t="s">
        <v>102</v>
      </c>
      <c r="BD16" s="201"/>
      <c r="BE16" s="171" t="s">
        <v>101</v>
      </c>
      <c r="BF16" s="171" t="s">
        <v>101</v>
      </c>
      <c r="BG16" s="171" t="s">
        <v>100</v>
      </c>
      <c r="BH16" s="210" t="s">
        <v>105</v>
      </c>
      <c r="BI16" s="202" t="s">
        <v>102</v>
      </c>
      <c r="BJ16" s="171" t="str">
        <f t="shared" si="5"/>
        <v>A</v>
      </c>
      <c r="BK16" s="158" t="s">
        <v>101</v>
      </c>
      <c r="BL16" s="190"/>
      <c r="BM16" s="189" t="s">
        <v>102</v>
      </c>
      <c r="BN16" s="189" t="s">
        <v>101</v>
      </c>
      <c r="BO16" s="189" t="s">
        <v>101</v>
      </c>
      <c r="BP16" s="202" t="s">
        <v>102</v>
      </c>
      <c r="BQ16" s="210" t="s">
        <v>105</v>
      </c>
      <c r="BR16" s="201"/>
      <c r="BS16" s="201"/>
      <c r="BT16" s="189" t="str">
        <f t="shared" si="6"/>
        <v>A</v>
      </c>
      <c r="BU16" s="158" t="s">
        <v>102</v>
      </c>
      <c r="BV16" s="148"/>
      <c r="BW16" s="148"/>
      <c r="BX16" s="148"/>
      <c r="BY16" s="148"/>
      <c r="BZ16" s="148"/>
      <c r="CA16" s="201"/>
      <c r="CB16" s="225" t="s">
        <v>100</v>
      </c>
      <c r="CC16" s="225" t="s">
        <v>101</v>
      </c>
      <c r="CD16" s="225" t="s">
        <v>100</v>
      </c>
      <c r="CE16" s="210" t="s">
        <v>105</v>
      </c>
      <c r="CF16" s="202" t="s">
        <v>102</v>
      </c>
      <c r="CG16" s="225" t="str">
        <f t="shared" si="7"/>
        <v>A</v>
      </c>
      <c r="CH16" s="158" t="s">
        <v>101</v>
      </c>
      <c r="CI16" s="201"/>
      <c r="CJ16" s="230" t="s">
        <v>105</v>
      </c>
      <c r="CK16" s="230" t="s">
        <v>101</v>
      </c>
      <c r="CL16" s="230"/>
      <c r="CM16" s="230"/>
      <c r="CN16" s="210" t="s">
        <v>105</v>
      </c>
      <c r="CO16" s="210" t="s">
        <v>105</v>
      </c>
      <c r="CP16" s="202"/>
      <c r="CQ16" s="232" t="str">
        <f t="shared" si="8"/>
        <v>A</v>
      </c>
      <c r="CR16" s="158" t="s">
        <v>105</v>
      </c>
      <c r="CS16" s="189"/>
      <c r="CT16" s="202" t="s">
        <v>105</v>
      </c>
      <c r="CU16" s="202" t="s">
        <v>100</v>
      </c>
      <c r="CV16" s="189"/>
      <c r="CW16" s="148"/>
      <c r="CX16" s="148"/>
      <c r="CY16" s="148"/>
      <c r="CZ16" s="148"/>
      <c r="DA16" s="148"/>
      <c r="DB16" s="148"/>
      <c r="DC16" s="148"/>
      <c r="DD16" s="148"/>
      <c r="DE16" s="237" t="s">
        <v>101</v>
      </c>
      <c r="DF16">
        <f t="shared" si="9"/>
        <v>0</v>
      </c>
      <c r="DG16">
        <f t="shared" si="10"/>
        <v>4</v>
      </c>
    </row>
    <row r="17" ht="15" spans="1:111">
      <c r="A17" s="137">
        <v>11</v>
      </c>
      <c r="B17" s="138" t="str">
        <f>'RELACION ESTUDIANTES - 2022'!D16</f>
        <v>PEÑA ASCENCIO CESAR LUIS</v>
      </c>
      <c r="C17" s="139"/>
      <c r="D17" s="139" t="s">
        <v>102</v>
      </c>
      <c r="E17" s="139" t="s">
        <v>101</v>
      </c>
      <c r="F17" s="139" t="s">
        <v>105</v>
      </c>
      <c r="G17" s="139"/>
      <c r="H17" s="139" t="str">
        <f t="shared" si="0"/>
        <v>A</v>
      </c>
      <c r="I17" s="158" t="s">
        <v>102</v>
      </c>
      <c r="J17" s="159"/>
      <c r="K17" s="159" t="s">
        <v>100</v>
      </c>
      <c r="L17" s="159" t="s">
        <v>101</v>
      </c>
      <c r="M17" s="159" t="s">
        <v>105</v>
      </c>
      <c r="N17" s="159"/>
      <c r="O17" s="159"/>
      <c r="P17" s="159"/>
      <c r="Q17" s="159" t="str">
        <f t="shared" si="1"/>
        <v>A</v>
      </c>
      <c r="R17" s="158" t="s">
        <v>102</v>
      </c>
      <c r="S17" s="170"/>
      <c r="T17" s="171" t="s">
        <v>105</v>
      </c>
      <c r="U17" s="171" t="s">
        <v>101</v>
      </c>
      <c r="V17" s="171" t="s">
        <v>101</v>
      </c>
      <c r="W17" s="172"/>
      <c r="X17" s="173"/>
      <c r="Y17" s="184"/>
      <c r="Z17" s="188"/>
      <c r="AA17" s="185"/>
      <c r="AB17" s="170" t="str">
        <f t="shared" si="2"/>
        <v>A</v>
      </c>
      <c r="AC17" s="158" t="s">
        <v>102</v>
      </c>
      <c r="AD17" s="190"/>
      <c r="AE17" s="190"/>
      <c r="AF17" s="190"/>
      <c r="AG17" s="190"/>
      <c r="AH17" s="190"/>
      <c r="AI17" s="201" t="s">
        <v>100</v>
      </c>
      <c r="AJ17" s="148" t="s">
        <v>102</v>
      </c>
      <c r="AK17" s="148" t="s">
        <v>102</v>
      </c>
      <c r="AL17" s="148" t="s">
        <v>105</v>
      </c>
      <c r="AM17" s="202" t="s">
        <v>102</v>
      </c>
      <c r="AN17" s="173"/>
      <c r="AO17" s="184"/>
      <c r="AP17" s="148"/>
      <c r="AQ17" s="148"/>
      <c r="AR17" s="209"/>
      <c r="AS17" s="148"/>
      <c r="AT17" s="148" t="str">
        <f t="shared" si="3"/>
        <v>A</v>
      </c>
      <c r="AU17" s="158" t="s">
        <v>102</v>
      </c>
      <c r="AV17" s="201" t="s">
        <v>100</v>
      </c>
      <c r="AW17" s="159"/>
      <c r="AX17" s="159" t="s">
        <v>101</v>
      </c>
      <c r="AY17" s="159" t="s">
        <v>102</v>
      </c>
      <c r="AZ17" s="202" t="s">
        <v>102</v>
      </c>
      <c r="BA17" s="210" t="s">
        <v>105</v>
      </c>
      <c r="BB17" s="159" t="str">
        <f t="shared" si="4"/>
        <v>A</v>
      </c>
      <c r="BC17" s="158" t="s">
        <v>102</v>
      </c>
      <c r="BD17" s="201"/>
      <c r="BE17" s="171" t="s">
        <v>101</v>
      </c>
      <c r="BF17" s="171" t="s">
        <v>101</v>
      </c>
      <c r="BG17" s="171" t="s">
        <v>105</v>
      </c>
      <c r="BH17" s="210" t="s">
        <v>105</v>
      </c>
      <c r="BI17" s="202" t="s">
        <v>102</v>
      </c>
      <c r="BJ17" s="171" t="str">
        <f t="shared" si="5"/>
        <v>A</v>
      </c>
      <c r="BK17" s="158" t="s">
        <v>102</v>
      </c>
      <c r="BL17" s="190"/>
      <c r="BM17" s="189" t="s">
        <v>102</v>
      </c>
      <c r="BN17" s="189" t="s">
        <v>101</v>
      </c>
      <c r="BO17" s="189" t="s">
        <v>102</v>
      </c>
      <c r="BP17" s="202" t="s">
        <v>102</v>
      </c>
      <c r="BQ17" s="210" t="s">
        <v>105</v>
      </c>
      <c r="BR17" s="201"/>
      <c r="BS17" s="201"/>
      <c r="BT17" s="189" t="str">
        <f t="shared" si="6"/>
        <v>A</v>
      </c>
      <c r="BU17" s="158" t="s">
        <v>102</v>
      </c>
      <c r="BV17" s="148"/>
      <c r="BW17" s="148"/>
      <c r="BX17" s="148"/>
      <c r="BY17" s="148"/>
      <c r="BZ17" s="148"/>
      <c r="CA17" s="201"/>
      <c r="CB17" s="225" t="s">
        <v>100</v>
      </c>
      <c r="CC17" s="225" t="s">
        <v>101</v>
      </c>
      <c r="CD17" s="225" t="s">
        <v>100</v>
      </c>
      <c r="CE17" s="210" t="s">
        <v>105</v>
      </c>
      <c r="CF17" s="202" t="s">
        <v>102</v>
      </c>
      <c r="CG17" s="225" t="str">
        <f t="shared" si="7"/>
        <v>A</v>
      </c>
      <c r="CH17" s="158" t="s">
        <v>101</v>
      </c>
      <c r="CI17" s="201"/>
      <c r="CJ17" s="230" t="s">
        <v>101</v>
      </c>
      <c r="CK17" s="230" t="s">
        <v>105</v>
      </c>
      <c r="CL17" s="230"/>
      <c r="CM17" s="230"/>
      <c r="CN17" s="210" t="s">
        <v>105</v>
      </c>
      <c r="CO17" s="210" t="s">
        <v>105</v>
      </c>
      <c r="CP17" s="202"/>
      <c r="CQ17" s="232" t="str">
        <f t="shared" si="8"/>
        <v>A</v>
      </c>
      <c r="CR17" s="158" t="s">
        <v>105</v>
      </c>
      <c r="CS17" s="189"/>
      <c r="CT17" s="202" t="s">
        <v>105</v>
      </c>
      <c r="CU17" s="202" t="s">
        <v>100</v>
      </c>
      <c r="CV17" s="189"/>
      <c r="CW17" s="148"/>
      <c r="CX17" s="148"/>
      <c r="CY17" s="148"/>
      <c r="CZ17" s="148"/>
      <c r="DA17" s="148"/>
      <c r="DB17" s="148"/>
      <c r="DC17" s="148"/>
      <c r="DD17" s="148"/>
      <c r="DE17" s="237" t="s">
        <v>101</v>
      </c>
      <c r="DF17">
        <f t="shared" si="9"/>
        <v>0</v>
      </c>
      <c r="DG17">
        <f t="shared" si="10"/>
        <v>4</v>
      </c>
    </row>
    <row r="18" s="122" customFormat="1" ht="15" spans="1:111">
      <c r="A18" s="144">
        <v>12</v>
      </c>
      <c r="B18" s="138" t="str">
        <f>'RELACION ESTUDIANTES - 2022'!D17</f>
        <v>SOSA FUENTES UBALDO FRANCISCO</v>
      </c>
      <c r="C18" s="139"/>
      <c r="D18" s="139" t="s">
        <v>102</v>
      </c>
      <c r="E18" s="139" t="s">
        <v>101</v>
      </c>
      <c r="F18" s="139" t="s">
        <v>100</v>
      </c>
      <c r="G18" s="139"/>
      <c r="H18" s="139" t="str">
        <f t="shared" si="0"/>
        <v>B</v>
      </c>
      <c r="I18" s="158" t="s">
        <v>101</v>
      </c>
      <c r="J18" s="159"/>
      <c r="K18" s="159" t="s">
        <v>100</v>
      </c>
      <c r="L18" s="159" t="s">
        <v>101</v>
      </c>
      <c r="M18" s="159" t="s">
        <v>105</v>
      </c>
      <c r="N18" s="159" t="s">
        <v>100</v>
      </c>
      <c r="O18" s="159"/>
      <c r="P18" s="159"/>
      <c r="Q18" s="159" t="str">
        <f t="shared" si="1"/>
        <v>B</v>
      </c>
      <c r="R18" s="158" t="s">
        <v>102</v>
      </c>
      <c r="S18" s="170" t="s">
        <v>100</v>
      </c>
      <c r="T18" s="171" t="s">
        <v>105</v>
      </c>
      <c r="U18" s="171" t="s">
        <v>105</v>
      </c>
      <c r="V18" s="171" t="s">
        <v>105</v>
      </c>
      <c r="W18" s="172"/>
      <c r="X18" s="173"/>
      <c r="Y18" s="184"/>
      <c r="Z18" s="188"/>
      <c r="AA18" s="185"/>
      <c r="AB18" s="170" t="str">
        <f t="shared" si="2"/>
        <v>B</v>
      </c>
      <c r="AC18" s="158" t="s">
        <v>105</v>
      </c>
      <c r="AD18" s="190"/>
      <c r="AE18" s="190"/>
      <c r="AF18" s="190"/>
      <c r="AG18" s="190"/>
      <c r="AH18" s="190"/>
      <c r="AI18" s="201"/>
      <c r="AJ18" s="148" t="s">
        <v>105</v>
      </c>
      <c r="AK18" s="148" t="s">
        <v>105</v>
      </c>
      <c r="AL18" s="148" t="s">
        <v>105</v>
      </c>
      <c r="AM18" s="202" t="s">
        <v>102</v>
      </c>
      <c r="AN18" s="173"/>
      <c r="AO18" s="184"/>
      <c r="AP18" s="148"/>
      <c r="AQ18" s="148"/>
      <c r="AR18" s="209"/>
      <c r="AS18" s="148"/>
      <c r="AT18" s="148" t="str">
        <f t="shared" si="3"/>
        <v>B</v>
      </c>
      <c r="AU18" s="158" t="s">
        <v>105</v>
      </c>
      <c r="AV18" s="201"/>
      <c r="AW18" s="159"/>
      <c r="AX18" s="159" t="s">
        <v>105</v>
      </c>
      <c r="AY18" s="159" t="s">
        <v>101</v>
      </c>
      <c r="AZ18" s="202" t="s">
        <v>102</v>
      </c>
      <c r="BA18" s="210" t="s">
        <v>105</v>
      </c>
      <c r="BB18" s="159" t="str">
        <f t="shared" si="4"/>
        <v>B</v>
      </c>
      <c r="BC18" s="158" t="s">
        <v>102</v>
      </c>
      <c r="BD18" s="201"/>
      <c r="BE18" s="171" t="s">
        <v>101</v>
      </c>
      <c r="BF18" s="171" t="s">
        <v>101</v>
      </c>
      <c r="BG18" s="171" t="s">
        <v>100</v>
      </c>
      <c r="BH18" s="210" t="s">
        <v>105</v>
      </c>
      <c r="BI18" s="202" t="s">
        <v>102</v>
      </c>
      <c r="BJ18" s="171" t="str">
        <f t="shared" si="5"/>
        <v>B</v>
      </c>
      <c r="BK18" s="219" t="s">
        <v>102</v>
      </c>
      <c r="BL18" s="190"/>
      <c r="BM18" s="189" t="s">
        <v>100</v>
      </c>
      <c r="BN18" s="189" t="s">
        <v>101</v>
      </c>
      <c r="BO18" s="189" t="s">
        <v>102</v>
      </c>
      <c r="BP18" s="202" t="s">
        <v>102</v>
      </c>
      <c r="BQ18" s="210" t="s">
        <v>105</v>
      </c>
      <c r="BR18" s="201"/>
      <c r="BS18" s="201"/>
      <c r="BT18" s="189" t="str">
        <f t="shared" si="6"/>
        <v>B</v>
      </c>
      <c r="BU18" s="158" t="s">
        <v>102</v>
      </c>
      <c r="BV18" s="148"/>
      <c r="BW18" s="148"/>
      <c r="BX18" s="148"/>
      <c r="BY18" s="148"/>
      <c r="BZ18" s="148"/>
      <c r="CA18" s="201"/>
      <c r="CB18" s="225" t="s">
        <v>105</v>
      </c>
      <c r="CC18" s="225" t="s">
        <v>101</v>
      </c>
      <c r="CD18" s="225" t="s">
        <v>100</v>
      </c>
      <c r="CE18" s="210" t="s">
        <v>105</v>
      </c>
      <c r="CF18" s="202" t="s">
        <v>102</v>
      </c>
      <c r="CG18" s="225" t="str">
        <f t="shared" si="7"/>
        <v>B</v>
      </c>
      <c r="CH18" s="158" t="s">
        <v>102</v>
      </c>
      <c r="CI18" s="201"/>
      <c r="CJ18" s="230" t="s">
        <v>105</v>
      </c>
      <c r="CK18" s="230" t="s">
        <v>105</v>
      </c>
      <c r="CL18" s="230"/>
      <c r="CM18" s="230"/>
      <c r="CN18" s="210" t="s">
        <v>105</v>
      </c>
      <c r="CO18" s="210" t="s">
        <v>105</v>
      </c>
      <c r="CP18" s="202"/>
      <c r="CQ18" s="232" t="str">
        <f t="shared" si="8"/>
        <v>B</v>
      </c>
      <c r="CR18" s="158" t="s">
        <v>105</v>
      </c>
      <c r="CS18" s="189"/>
      <c r="CT18" s="202" t="s">
        <v>105</v>
      </c>
      <c r="CU18" s="202" t="s">
        <v>100</v>
      </c>
      <c r="CV18" s="189"/>
      <c r="CW18" s="148"/>
      <c r="CX18" s="148"/>
      <c r="CY18" s="148"/>
      <c r="CZ18" s="148"/>
      <c r="DA18" s="148"/>
      <c r="DB18" s="148"/>
      <c r="DC18" s="148"/>
      <c r="DD18" s="148"/>
      <c r="DE18" s="237" t="s">
        <v>102</v>
      </c>
      <c r="DF18" s="122">
        <f t="shared" si="9"/>
        <v>0</v>
      </c>
      <c r="DG18" s="122">
        <f t="shared" si="10"/>
        <v>4</v>
      </c>
    </row>
    <row r="19" s="121" customFormat="1" ht="15" spans="1:111">
      <c r="A19" s="141">
        <v>13</v>
      </c>
      <c r="B19" s="142"/>
      <c r="C19" s="143"/>
      <c r="D19" s="143"/>
      <c r="E19" s="143"/>
      <c r="F19" s="143"/>
      <c r="G19" s="143"/>
      <c r="H19" s="143"/>
      <c r="I19" s="143"/>
      <c r="J19" s="161"/>
      <c r="K19" s="161"/>
      <c r="L19" s="161"/>
      <c r="M19" s="161"/>
      <c r="N19" s="161"/>
      <c r="O19" s="161"/>
      <c r="P19" s="161"/>
      <c r="Q19" s="161"/>
      <c r="R19" s="143"/>
      <c r="S19" s="174"/>
      <c r="T19" s="175"/>
      <c r="U19" s="175"/>
      <c r="V19" s="174"/>
      <c r="W19" s="172"/>
      <c r="X19" s="173"/>
      <c r="Y19" s="184"/>
      <c r="Z19" s="188"/>
      <c r="AA19" s="188"/>
      <c r="AB19" s="174"/>
      <c r="AC19" s="143"/>
      <c r="AD19" s="192"/>
      <c r="AE19" s="192"/>
      <c r="AF19" s="192"/>
      <c r="AG19" s="192"/>
      <c r="AH19" s="192"/>
      <c r="AI19" s="175"/>
      <c r="AJ19" s="204"/>
      <c r="AK19" s="204"/>
      <c r="AL19" s="204"/>
      <c r="AM19" s="172"/>
      <c r="AN19" s="173"/>
      <c r="AO19" s="184"/>
      <c r="AP19" s="204"/>
      <c r="AQ19" s="204"/>
      <c r="AR19" s="192"/>
      <c r="AS19" s="204"/>
      <c r="AT19" s="204"/>
      <c r="AU19" s="142"/>
      <c r="AV19" s="175"/>
      <c r="AW19" s="161"/>
      <c r="AX19" s="161"/>
      <c r="AY19" s="161"/>
      <c r="AZ19" s="216"/>
      <c r="BA19" s="192"/>
      <c r="BB19" s="161"/>
      <c r="BC19" s="141"/>
      <c r="BD19" s="175"/>
      <c r="BE19" s="175"/>
      <c r="BF19" s="175"/>
      <c r="BG19" s="175"/>
      <c r="BH19" s="192"/>
      <c r="BI19" s="216"/>
      <c r="BJ19" s="175"/>
      <c r="BK19" s="142"/>
      <c r="BL19" s="192"/>
      <c r="BM19" s="191"/>
      <c r="BN19" s="191"/>
      <c r="BO19" s="191"/>
      <c r="BP19" s="216"/>
      <c r="BQ19" s="192"/>
      <c r="BR19" s="175"/>
      <c r="BS19" s="175"/>
      <c r="BT19" s="191"/>
      <c r="BU19" s="143"/>
      <c r="BV19" s="204"/>
      <c r="BW19" s="204"/>
      <c r="BX19" s="204"/>
      <c r="BY19" s="204"/>
      <c r="BZ19" s="204"/>
      <c r="CA19" s="175"/>
      <c r="CB19" s="143"/>
      <c r="CC19" s="143"/>
      <c r="CD19" s="143"/>
      <c r="CE19" s="192"/>
      <c r="CF19" s="216"/>
      <c r="CG19" s="143"/>
      <c r="CH19" s="143"/>
      <c r="CI19" s="175"/>
      <c r="CJ19" s="216"/>
      <c r="CK19" s="216"/>
      <c r="CL19" s="216"/>
      <c r="CM19" s="216"/>
      <c r="CN19" s="192"/>
      <c r="CO19" s="192"/>
      <c r="CP19" s="216"/>
      <c r="CQ19" s="233"/>
      <c r="CR19" s="143"/>
      <c r="CS19" s="191"/>
      <c r="CT19" s="191"/>
      <c r="CU19" s="191"/>
      <c r="CV19" s="191"/>
      <c r="CW19" s="204"/>
      <c r="CX19" s="204"/>
      <c r="CY19" s="204"/>
      <c r="CZ19" s="204"/>
      <c r="DA19" s="161"/>
      <c r="DB19" s="161"/>
      <c r="DC19" s="161"/>
      <c r="DD19" s="161"/>
      <c r="DE19" s="239"/>
      <c r="DF19" s="121">
        <f t="shared" si="9"/>
        <v>0</v>
      </c>
      <c r="DG19" s="121">
        <f t="shared" si="10"/>
        <v>4</v>
      </c>
    </row>
    <row r="20" ht="15" spans="1:111">
      <c r="A20" s="137">
        <v>14</v>
      </c>
      <c r="B20" s="138"/>
      <c r="C20" s="139"/>
      <c r="D20" s="139"/>
      <c r="E20" s="139"/>
      <c r="F20" s="139"/>
      <c r="G20" s="139"/>
      <c r="H20" s="139"/>
      <c r="I20" s="158"/>
      <c r="J20" s="159"/>
      <c r="K20" s="159"/>
      <c r="L20" s="159"/>
      <c r="M20" s="159"/>
      <c r="N20" s="159"/>
      <c r="O20" s="159"/>
      <c r="P20" s="159"/>
      <c r="Q20" s="159"/>
      <c r="R20" s="158"/>
      <c r="S20" s="170"/>
      <c r="T20" s="171"/>
      <c r="U20" s="171"/>
      <c r="V20" s="170"/>
      <c r="W20" s="172"/>
      <c r="X20" s="173"/>
      <c r="Y20" s="184"/>
      <c r="Z20" s="188"/>
      <c r="AA20" s="188"/>
      <c r="AB20" s="170"/>
      <c r="AC20" s="158"/>
      <c r="AD20" s="190"/>
      <c r="AE20" s="190"/>
      <c r="AF20" s="190"/>
      <c r="AG20" s="190"/>
      <c r="AH20" s="190"/>
      <c r="AI20" s="201"/>
      <c r="AJ20" s="148"/>
      <c r="AK20" s="148"/>
      <c r="AL20" s="148"/>
      <c r="AM20" s="172"/>
      <c r="AN20" s="173"/>
      <c r="AO20" s="184"/>
      <c r="AP20" s="148"/>
      <c r="AQ20" s="148"/>
      <c r="AR20" s="210"/>
      <c r="AS20" s="148"/>
      <c r="AT20" s="148"/>
      <c r="AU20" s="158"/>
      <c r="AV20" s="201"/>
      <c r="AW20" s="159"/>
      <c r="AX20" s="159"/>
      <c r="AY20" s="159"/>
      <c r="AZ20" s="202"/>
      <c r="BA20" s="210"/>
      <c r="BB20" s="159"/>
      <c r="BC20" s="158"/>
      <c r="BD20" s="201"/>
      <c r="BE20" s="171"/>
      <c r="BF20" s="171"/>
      <c r="BG20" s="171"/>
      <c r="BH20" s="210"/>
      <c r="BI20" s="202"/>
      <c r="BJ20" s="171"/>
      <c r="BK20" s="158"/>
      <c r="BL20" s="190"/>
      <c r="BM20" s="189"/>
      <c r="BN20" s="189"/>
      <c r="BO20" s="189"/>
      <c r="BP20" s="202"/>
      <c r="BQ20" s="210"/>
      <c r="BR20" s="201"/>
      <c r="BS20" s="201"/>
      <c r="BT20" s="189"/>
      <c r="BU20" s="158"/>
      <c r="BV20" s="148"/>
      <c r="BW20" s="148"/>
      <c r="BX20" s="148"/>
      <c r="BY20" s="148"/>
      <c r="BZ20" s="148"/>
      <c r="CA20" s="201"/>
      <c r="CB20" s="225"/>
      <c r="CC20" s="225"/>
      <c r="CD20" s="225" t="s">
        <v>229</v>
      </c>
      <c r="CE20" s="210"/>
      <c r="CF20" s="202" t="s">
        <v>103</v>
      </c>
      <c r="CG20" s="225"/>
      <c r="CH20" s="158"/>
      <c r="CI20" s="201"/>
      <c r="CJ20" s="230"/>
      <c r="CK20" s="230"/>
      <c r="CL20" s="230"/>
      <c r="CM20" s="230"/>
      <c r="CN20" s="210"/>
      <c r="CO20" s="210"/>
      <c r="CP20" s="202"/>
      <c r="CQ20" s="232"/>
      <c r="CR20" s="158"/>
      <c r="CS20" s="189"/>
      <c r="CT20" s="189"/>
      <c r="CU20" s="189"/>
      <c r="CV20" s="189"/>
      <c r="CW20" s="148"/>
      <c r="CX20" s="148"/>
      <c r="CY20" s="148"/>
      <c r="CZ20" s="148"/>
      <c r="DA20" s="148"/>
      <c r="DB20" s="148"/>
      <c r="DC20" s="148"/>
      <c r="DD20" s="148"/>
      <c r="DE20" s="237"/>
      <c r="DF20">
        <f t="shared" si="9"/>
        <v>0</v>
      </c>
      <c r="DG20">
        <f t="shared" si="10"/>
        <v>4</v>
      </c>
    </row>
    <row r="21" ht="15" spans="1:111">
      <c r="A21" s="137">
        <v>15</v>
      </c>
      <c r="B21" s="138"/>
      <c r="C21" s="139"/>
      <c r="D21" s="139"/>
      <c r="E21" s="139"/>
      <c r="F21" s="139"/>
      <c r="G21" s="139"/>
      <c r="H21" s="139"/>
      <c r="I21" s="158"/>
      <c r="J21" s="159"/>
      <c r="K21" s="159"/>
      <c r="L21" s="159"/>
      <c r="M21" s="159"/>
      <c r="N21" s="159"/>
      <c r="O21" s="159"/>
      <c r="P21" s="159"/>
      <c r="Q21" s="159"/>
      <c r="R21" s="158"/>
      <c r="S21" s="170"/>
      <c r="T21" s="171"/>
      <c r="U21" s="171"/>
      <c r="V21" s="170"/>
      <c r="W21" s="172"/>
      <c r="X21" s="173"/>
      <c r="Y21" s="184"/>
      <c r="Z21" s="188"/>
      <c r="AA21" s="188"/>
      <c r="AB21" s="170"/>
      <c r="AC21" s="158"/>
      <c r="AD21" s="190"/>
      <c r="AE21" s="190"/>
      <c r="AF21" s="190"/>
      <c r="AG21" s="190"/>
      <c r="AH21" s="190"/>
      <c r="AI21" s="201" t="s">
        <v>269</v>
      </c>
      <c r="AJ21" s="148">
        <v>4.1</v>
      </c>
      <c r="AK21" s="148"/>
      <c r="AL21" s="148"/>
      <c r="AM21" s="172"/>
      <c r="AN21" s="173"/>
      <c r="AO21" s="184"/>
      <c r="AP21" s="148"/>
      <c r="AQ21" s="148"/>
      <c r="AR21" s="210"/>
      <c r="AS21" s="148"/>
      <c r="AT21" s="148"/>
      <c r="AU21" s="158"/>
      <c r="AV21" s="201" t="s">
        <v>269</v>
      </c>
      <c r="AW21" s="159">
        <v>4.2</v>
      </c>
      <c r="AX21" s="159"/>
      <c r="AY21" s="159"/>
      <c r="AZ21" s="202"/>
      <c r="BA21" s="210"/>
      <c r="BB21" s="159"/>
      <c r="BC21" s="158"/>
      <c r="BD21" s="201"/>
      <c r="BE21" s="171">
        <v>4.3</v>
      </c>
      <c r="BF21" s="171"/>
      <c r="BG21" s="171"/>
      <c r="BH21" s="210"/>
      <c r="BI21" s="202"/>
      <c r="BJ21" s="171"/>
      <c r="BK21" s="158"/>
      <c r="BL21" s="190"/>
      <c r="BM21" s="189"/>
      <c r="BN21" s="189"/>
      <c r="BO21" s="189"/>
      <c r="BP21" s="202"/>
      <c r="BQ21" s="210"/>
      <c r="BR21" s="201"/>
      <c r="BS21" s="201"/>
      <c r="BT21" s="189"/>
      <c r="BU21" s="158"/>
      <c r="BV21" s="148"/>
      <c r="BW21" s="148"/>
      <c r="BX21" s="148"/>
      <c r="BY21" s="148"/>
      <c r="BZ21" s="148"/>
      <c r="CA21" s="201"/>
      <c r="CB21" s="225"/>
      <c r="CC21" s="225"/>
      <c r="CD21" s="225" t="s">
        <v>270</v>
      </c>
      <c r="CE21" s="210"/>
      <c r="CF21" s="202" t="s">
        <v>270</v>
      </c>
      <c r="CG21" s="225"/>
      <c r="CH21" s="158"/>
      <c r="CI21" s="201"/>
      <c r="CJ21" s="230"/>
      <c r="CK21" s="230"/>
      <c r="CL21" s="230"/>
      <c r="CM21" s="230"/>
      <c r="CN21" s="210"/>
      <c r="CO21" s="210"/>
      <c r="CP21" s="202"/>
      <c r="CQ21" s="232"/>
      <c r="CR21" s="158"/>
      <c r="CS21" s="189"/>
      <c r="CT21" s="189"/>
      <c r="CU21" s="189"/>
      <c r="CV21" s="189"/>
      <c r="CW21" s="148"/>
      <c r="CX21" s="148"/>
      <c r="CY21" s="148"/>
      <c r="CZ21" s="148"/>
      <c r="DA21" s="148"/>
      <c r="DB21" s="148"/>
      <c r="DC21" s="148"/>
      <c r="DD21" s="148"/>
      <c r="DE21" s="237"/>
      <c r="DF21">
        <f t="shared" si="9"/>
        <v>0</v>
      </c>
      <c r="DG21">
        <f t="shared" si="10"/>
        <v>4</v>
      </c>
    </row>
    <row r="22" s="123" customFormat="1" ht="15" spans="1:110">
      <c r="A22" s="145">
        <v>16</v>
      </c>
      <c r="B22" s="146"/>
      <c r="C22" s="147"/>
      <c r="D22" s="139"/>
      <c r="E22" s="139"/>
      <c r="F22" s="147"/>
      <c r="G22" s="147"/>
      <c r="H22" s="139"/>
      <c r="I22" s="147"/>
      <c r="J22" s="162"/>
      <c r="K22" s="162"/>
      <c r="L22" s="162"/>
      <c r="M22" s="162"/>
      <c r="N22" s="162"/>
      <c r="O22" s="162"/>
      <c r="P22" s="162"/>
      <c r="Q22" s="159"/>
      <c r="R22" s="147"/>
      <c r="S22" s="176"/>
      <c r="T22" s="171"/>
      <c r="U22" s="171"/>
      <c r="V22" s="176"/>
      <c r="W22" s="177"/>
      <c r="X22" s="177"/>
      <c r="Y22" s="184"/>
      <c r="Z22" s="188"/>
      <c r="AA22" s="188"/>
      <c r="AB22" s="170"/>
      <c r="AC22" s="147"/>
      <c r="AD22" s="193"/>
      <c r="AE22" s="194"/>
      <c r="AF22" s="194"/>
      <c r="AG22" s="194"/>
      <c r="AH22" s="193"/>
      <c r="AI22" s="201"/>
      <c r="AJ22" s="147"/>
      <c r="AK22" s="148"/>
      <c r="AL22" s="148"/>
      <c r="AM22" s="177"/>
      <c r="AN22" s="177"/>
      <c r="AO22" s="184"/>
      <c r="AP22" s="147"/>
      <c r="AQ22" s="147"/>
      <c r="AR22" s="210"/>
      <c r="AS22" s="147"/>
      <c r="AT22" s="148"/>
      <c r="AU22" s="147"/>
      <c r="AV22" s="201"/>
      <c r="AW22" s="159"/>
      <c r="AX22" s="159"/>
      <c r="AY22" s="162"/>
      <c r="AZ22" s="202"/>
      <c r="BA22" s="210"/>
      <c r="BB22" s="159"/>
      <c r="BC22" s="147"/>
      <c r="BD22" s="201"/>
      <c r="BE22" s="171"/>
      <c r="BF22" s="171"/>
      <c r="BG22" s="171"/>
      <c r="BH22" s="210"/>
      <c r="BI22" s="202"/>
      <c r="BJ22" s="171"/>
      <c r="BK22" s="147"/>
      <c r="BL22" s="194"/>
      <c r="BM22" s="193"/>
      <c r="BN22" s="193"/>
      <c r="BO22" s="189"/>
      <c r="BP22" s="202"/>
      <c r="BQ22" s="210"/>
      <c r="BR22" s="201"/>
      <c r="BS22" s="201"/>
      <c r="BT22" s="189"/>
      <c r="BU22" s="147"/>
      <c r="BV22" s="226"/>
      <c r="BW22" s="226"/>
      <c r="BX22" s="226"/>
      <c r="BY22" s="226"/>
      <c r="BZ22" s="226"/>
      <c r="CA22" s="201"/>
      <c r="CB22" s="147"/>
      <c r="CC22" s="225"/>
      <c r="CD22" s="147" t="s">
        <v>231</v>
      </c>
      <c r="CE22" s="210"/>
      <c r="CF22" s="202" t="s">
        <v>231</v>
      </c>
      <c r="CG22" s="225"/>
      <c r="CH22" s="147"/>
      <c r="CI22" s="201"/>
      <c r="CJ22" s="231"/>
      <c r="CK22" s="231"/>
      <c r="CL22" s="231"/>
      <c r="CM22" s="231"/>
      <c r="CN22" s="210"/>
      <c r="CO22" s="210"/>
      <c r="CP22" s="202"/>
      <c r="CQ22" s="232"/>
      <c r="CR22" s="147"/>
      <c r="CS22" s="193"/>
      <c r="CT22" s="193"/>
      <c r="CU22" s="193"/>
      <c r="CV22" s="193"/>
      <c r="CW22" s="226"/>
      <c r="CX22" s="226"/>
      <c r="CY22" s="226"/>
      <c r="CZ22" s="226"/>
      <c r="DA22" s="162"/>
      <c r="DB22" s="162"/>
      <c r="DC22" s="162"/>
      <c r="DD22" s="162"/>
      <c r="DE22" s="237"/>
      <c r="DF22" s="123">
        <f t="shared" si="9"/>
        <v>0</v>
      </c>
    </row>
    <row r="23" ht="15" spans="1:110">
      <c r="A23" s="137">
        <v>17</v>
      </c>
      <c r="B23" s="138"/>
      <c r="C23" s="139"/>
      <c r="D23" s="139"/>
      <c r="E23" s="139"/>
      <c r="F23" s="139"/>
      <c r="G23" s="139"/>
      <c r="H23" s="139"/>
      <c r="I23" s="158"/>
      <c r="J23" s="159"/>
      <c r="K23" s="159"/>
      <c r="L23" s="159"/>
      <c r="M23" s="159"/>
      <c r="N23" s="159"/>
      <c r="O23" s="159"/>
      <c r="P23" s="159"/>
      <c r="Q23" s="159"/>
      <c r="R23" s="158"/>
      <c r="S23" s="170"/>
      <c r="T23" s="171"/>
      <c r="U23" s="171"/>
      <c r="V23" s="170"/>
      <c r="W23" s="172"/>
      <c r="X23" s="173"/>
      <c r="Y23" s="184"/>
      <c r="Z23" s="188"/>
      <c r="AA23" s="188"/>
      <c r="AB23" s="170"/>
      <c r="AC23" s="158"/>
      <c r="AD23" s="189"/>
      <c r="AE23" s="189"/>
      <c r="AF23" s="189"/>
      <c r="AG23" s="189"/>
      <c r="AH23" s="189"/>
      <c r="AI23" s="201"/>
      <c r="AJ23" s="139"/>
      <c r="AK23" s="148"/>
      <c r="AL23" s="148"/>
      <c r="AM23" s="172"/>
      <c r="AN23" s="173"/>
      <c r="AO23" s="184"/>
      <c r="AP23" s="139"/>
      <c r="AQ23" s="139"/>
      <c r="AR23" s="210"/>
      <c r="AS23" s="139"/>
      <c r="AT23" s="148"/>
      <c r="AU23" s="158"/>
      <c r="AV23" s="201"/>
      <c r="AW23" s="159"/>
      <c r="AX23" s="159"/>
      <c r="AY23" s="159"/>
      <c r="AZ23" s="202"/>
      <c r="BA23" s="210"/>
      <c r="BB23" s="159"/>
      <c r="BC23" s="158"/>
      <c r="BD23" s="201"/>
      <c r="BE23" s="171"/>
      <c r="BF23" s="171"/>
      <c r="BG23" s="171"/>
      <c r="BH23" s="210"/>
      <c r="BI23" s="202"/>
      <c r="BJ23" s="171"/>
      <c r="BK23" s="158"/>
      <c r="BL23" s="190"/>
      <c r="BM23" s="189"/>
      <c r="BN23" s="189"/>
      <c r="BO23" s="189"/>
      <c r="BP23" s="202"/>
      <c r="BQ23" s="210"/>
      <c r="BR23" s="201"/>
      <c r="BS23" s="201"/>
      <c r="BT23" s="189"/>
      <c r="BU23" s="158"/>
      <c r="BV23" s="148"/>
      <c r="BW23" s="148"/>
      <c r="BX23" s="148"/>
      <c r="BY23" s="148"/>
      <c r="BZ23" s="148"/>
      <c r="CA23" s="201"/>
      <c r="CB23" s="225"/>
      <c r="CC23" s="225"/>
      <c r="CD23" s="225" t="s">
        <v>107</v>
      </c>
      <c r="CE23" s="210"/>
      <c r="CF23" s="202" t="s">
        <v>107</v>
      </c>
      <c r="CG23" s="225"/>
      <c r="CH23" s="158"/>
      <c r="CI23" s="201"/>
      <c r="CJ23" s="230"/>
      <c r="CK23" s="230"/>
      <c r="CL23" s="230"/>
      <c r="CM23" s="230"/>
      <c r="CN23" s="210"/>
      <c r="CO23" s="210"/>
      <c r="CP23" s="202"/>
      <c r="CQ23" s="232"/>
      <c r="CR23" s="158"/>
      <c r="CS23" s="189"/>
      <c r="CT23" s="189"/>
      <c r="CU23" s="189"/>
      <c r="CV23" s="189"/>
      <c r="CW23" s="148"/>
      <c r="CX23" s="148"/>
      <c r="CY23" s="148"/>
      <c r="CZ23" s="148"/>
      <c r="DA23" s="148"/>
      <c r="DB23" s="148"/>
      <c r="DC23" s="148"/>
      <c r="DD23" s="148"/>
      <c r="DE23" s="237"/>
      <c r="DF23">
        <f t="shared" si="9"/>
        <v>0</v>
      </c>
    </row>
    <row r="24" ht="15" spans="1:111">
      <c r="A24" s="137">
        <v>18</v>
      </c>
      <c r="B24" s="138"/>
      <c r="C24" s="139"/>
      <c r="D24" s="139"/>
      <c r="E24" s="139"/>
      <c r="F24" s="139"/>
      <c r="G24" s="139"/>
      <c r="H24" s="139"/>
      <c r="I24" s="158"/>
      <c r="J24" s="159"/>
      <c r="K24" s="159"/>
      <c r="L24" s="159"/>
      <c r="M24" s="159"/>
      <c r="N24" s="159"/>
      <c r="O24" s="159"/>
      <c r="P24" s="159"/>
      <c r="Q24" s="159"/>
      <c r="R24" s="158"/>
      <c r="S24" s="170"/>
      <c r="T24" s="171"/>
      <c r="U24" s="171"/>
      <c r="V24" s="170"/>
      <c r="W24" s="172"/>
      <c r="X24" s="173"/>
      <c r="Y24" s="184"/>
      <c r="Z24" s="188"/>
      <c r="AA24" s="188"/>
      <c r="AB24" s="170"/>
      <c r="AC24" s="158"/>
      <c r="AD24" s="189"/>
      <c r="AE24" s="189"/>
      <c r="AF24" s="189"/>
      <c r="AG24" s="189"/>
      <c r="AH24" s="189"/>
      <c r="AI24" s="201"/>
      <c r="AJ24" s="139"/>
      <c r="AK24" s="148"/>
      <c r="AL24" s="148"/>
      <c r="AM24" s="172"/>
      <c r="AN24" s="173"/>
      <c r="AO24" s="184"/>
      <c r="AP24" s="139"/>
      <c r="AQ24" s="139"/>
      <c r="AR24" s="210"/>
      <c r="AS24" s="139"/>
      <c r="AT24" s="148"/>
      <c r="AU24" s="158"/>
      <c r="AV24" s="201"/>
      <c r="AW24" s="159"/>
      <c r="AX24" s="159"/>
      <c r="AY24" s="159"/>
      <c r="AZ24" s="172"/>
      <c r="BA24" s="210"/>
      <c r="BB24" s="159"/>
      <c r="BC24" s="158"/>
      <c r="BD24" s="201"/>
      <c r="BE24" s="171"/>
      <c r="BF24" s="171"/>
      <c r="BG24" s="171"/>
      <c r="BH24" s="210"/>
      <c r="BI24" s="202"/>
      <c r="BJ24" s="171"/>
      <c r="BK24" s="158"/>
      <c r="BL24" s="190"/>
      <c r="BM24" s="189"/>
      <c r="BN24" s="189"/>
      <c r="BO24" s="189"/>
      <c r="BP24" s="202"/>
      <c r="BQ24" s="210"/>
      <c r="BR24" s="201"/>
      <c r="BS24" s="201"/>
      <c r="BT24" s="189"/>
      <c r="BU24" s="158"/>
      <c r="BV24" s="148"/>
      <c r="BW24" s="148"/>
      <c r="BX24" s="148"/>
      <c r="BY24" s="148"/>
      <c r="BZ24" s="148"/>
      <c r="CA24" s="201"/>
      <c r="CB24" s="225"/>
      <c r="CC24" s="225"/>
      <c r="CD24" s="225"/>
      <c r="CE24" s="210"/>
      <c r="CF24" s="202"/>
      <c r="CG24" s="225"/>
      <c r="CH24" s="158"/>
      <c r="CI24" s="201"/>
      <c r="CJ24" s="171"/>
      <c r="CK24" s="171"/>
      <c r="CL24" s="171"/>
      <c r="CM24" s="171"/>
      <c r="CN24" s="210"/>
      <c r="CO24" s="210"/>
      <c r="CP24" s="202"/>
      <c r="CQ24" s="232"/>
      <c r="CR24" s="158"/>
      <c r="CS24" s="189"/>
      <c r="CT24" s="189"/>
      <c r="CU24" s="189"/>
      <c r="CV24" s="189"/>
      <c r="CW24" s="148"/>
      <c r="CX24" s="148"/>
      <c r="CY24" s="148"/>
      <c r="CZ24" s="148"/>
      <c r="DA24" s="148"/>
      <c r="DB24" s="148"/>
      <c r="DC24" s="148"/>
      <c r="DD24" s="148"/>
      <c r="DE24" s="237"/>
      <c r="DF24">
        <f t="shared" si="9"/>
        <v>0</v>
      </c>
      <c r="DG24">
        <f t="shared" ref="DG24:DG35" si="11">DF24*2+4</f>
        <v>4</v>
      </c>
    </row>
    <row r="25" ht="15" spans="1:111">
      <c r="A25" s="137">
        <v>19</v>
      </c>
      <c r="B25" s="138"/>
      <c r="C25" s="139"/>
      <c r="D25" s="139"/>
      <c r="E25" s="139"/>
      <c r="F25" s="139"/>
      <c r="G25" s="139"/>
      <c r="H25" s="148"/>
      <c r="I25" s="158"/>
      <c r="J25" s="159"/>
      <c r="K25" s="159"/>
      <c r="L25" s="159"/>
      <c r="M25" s="159"/>
      <c r="N25" s="159"/>
      <c r="O25" s="159"/>
      <c r="P25" s="159"/>
      <c r="Q25" s="159"/>
      <c r="R25" s="158"/>
      <c r="S25" s="170"/>
      <c r="T25" s="170"/>
      <c r="U25" s="170"/>
      <c r="V25" s="170"/>
      <c r="W25" s="170"/>
      <c r="X25" s="170"/>
      <c r="Y25" s="170"/>
      <c r="Z25" s="170"/>
      <c r="AA25" s="170"/>
      <c r="AB25" s="170"/>
      <c r="AC25" s="158"/>
      <c r="AD25" s="189"/>
      <c r="AE25" s="190"/>
      <c r="AF25" s="190"/>
      <c r="AG25" s="190"/>
      <c r="AH25" s="189"/>
      <c r="AI25" s="139"/>
      <c r="AJ25" s="139"/>
      <c r="AK25" s="148"/>
      <c r="AL25" s="139"/>
      <c r="AM25" s="170"/>
      <c r="AN25" s="170"/>
      <c r="AO25" s="170"/>
      <c r="AP25" s="139"/>
      <c r="AQ25" s="139"/>
      <c r="AR25" s="139"/>
      <c r="AS25" s="139"/>
      <c r="AT25" s="139"/>
      <c r="AU25" s="158"/>
      <c r="AV25" s="159"/>
      <c r="AW25" s="159"/>
      <c r="AX25" s="159"/>
      <c r="AY25" s="159"/>
      <c r="AZ25" s="159"/>
      <c r="BA25" s="159"/>
      <c r="BB25" s="159"/>
      <c r="BC25" s="158"/>
      <c r="BD25" s="171"/>
      <c r="BE25" s="171"/>
      <c r="BF25" s="171"/>
      <c r="BG25" s="171"/>
      <c r="BH25" s="171"/>
      <c r="BI25" s="171"/>
      <c r="BJ25" s="171"/>
      <c r="BK25" s="158"/>
      <c r="BL25" s="190"/>
      <c r="BM25" s="189"/>
      <c r="BN25" s="189"/>
      <c r="BO25" s="189"/>
      <c r="BP25" s="189"/>
      <c r="BQ25" s="189"/>
      <c r="BR25" s="189"/>
      <c r="BS25" s="189"/>
      <c r="BT25" s="189"/>
      <c r="BU25" s="158"/>
      <c r="BV25" s="148"/>
      <c r="BW25" s="148"/>
      <c r="BX25" s="148"/>
      <c r="BY25" s="148" t="s">
        <v>252</v>
      </c>
      <c r="BZ25" s="148"/>
      <c r="CA25" s="159"/>
      <c r="CB25" s="225"/>
      <c r="CC25" s="225"/>
      <c r="CD25" s="225"/>
      <c r="CE25" s="225"/>
      <c r="CF25" s="225"/>
      <c r="CG25" s="225"/>
      <c r="CH25" s="158"/>
      <c r="CI25" s="171"/>
      <c r="CJ25" s="171"/>
      <c r="CK25" s="171"/>
      <c r="CL25" s="171"/>
      <c r="CM25" s="171"/>
      <c r="CN25" s="171"/>
      <c r="CO25" s="171"/>
      <c r="CP25" s="171"/>
      <c r="CQ25" s="171"/>
      <c r="CR25" s="158"/>
      <c r="CS25" s="189"/>
      <c r="CT25" s="189"/>
      <c r="CU25" s="189"/>
      <c r="CV25" s="189"/>
      <c r="CW25" s="148"/>
      <c r="CX25" s="148"/>
      <c r="CY25" s="148"/>
      <c r="CZ25" s="148"/>
      <c r="DA25" s="148"/>
      <c r="DB25" s="148"/>
      <c r="DC25" s="148"/>
      <c r="DD25" s="148"/>
      <c r="DF25">
        <f t="shared" si="9"/>
        <v>0</v>
      </c>
      <c r="DG25">
        <f t="shared" si="11"/>
        <v>4</v>
      </c>
    </row>
    <row r="26" ht="15" spans="1:111">
      <c r="A26" s="137">
        <v>20</v>
      </c>
      <c r="B26" s="138"/>
      <c r="C26" s="139"/>
      <c r="D26" s="139"/>
      <c r="E26" s="139"/>
      <c r="F26" s="139"/>
      <c r="G26" s="139"/>
      <c r="H26" s="148"/>
      <c r="I26" s="158"/>
      <c r="J26" s="159"/>
      <c r="K26" s="159"/>
      <c r="L26" s="159"/>
      <c r="M26" s="159"/>
      <c r="N26" s="159"/>
      <c r="O26" s="159"/>
      <c r="P26" s="159"/>
      <c r="Q26" s="159"/>
      <c r="R26" s="158"/>
      <c r="S26" s="170"/>
      <c r="T26" s="170"/>
      <c r="U26" s="170"/>
      <c r="V26" s="170"/>
      <c r="W26" s="170"/>
      <c r="X26" s="170"/>
      <c r="Y26" s="170"/>
      <c r="Z26" s="170"/>
      <c r="AA26" s="170"/>
      <c r="AB26" s="170"/>
      <c r="AC26" s="158"/>
      <c r="AD26" s="195"/>
      <c r="AE26" s="196"/>
      <c r="AF26" s="196"/>
      <c r="AG26" s="196"/>
      <c r="AH26" s="195"/>
      <c r="AI26" s="139"/>
      <c r="AJ26" s="148"/>
      <c r="AK26" s="148"/>
      <c r="AL26" s="148"/>
      <c r="AM26" s="170"/>
      <c r="AN26" s="170"/>
      <c r="AO26" s="170"/>
      <c r="AP26" s="148"/>
      <c r="AQ26" s="148"/>
      <c r="AR26" s="148"/>
      <c r="AS26" s="148"/>
      <c r="AT26" s="148"/>
      <c r="AU26" s="158"/>
      <c r="AV26" s="159"/>
      <c r="AW26" s="159"/>
      <c r="AX26" s="159"/>
      <c r="AY26" s="159"/>
      <c r="AZ26" s="159"/>
      <c r="BA26" s="159"/>
      <c r="BB26" s="159"/>
      <c r="BC26" s="158"/>
      <c r="BD26" s="171"/>
      <c r="BE26" s="170"/>
      <c r="BF26" s="170"/>
      <c r="BG26" s="170"/>
      <c r="BH26" s="170"/>
      <c r="BI26" s="170"/>
      <c r="BJ26" s="170"/>
      <c r="BK26" s="158"/>
      <c r="BL26" s="190"/>
      <c r="BM26" s="189"/>
      <c r="BN26" s="189"/>
      <c r="BO26" s="189"/>
      <c r="BP26" s="189"/>
      <c r="BQ26" s="189"/>
      <c r="BR26" s="189"/>
      <c r="BS26" s="189"/>
      <c r="BT26" s="189"/>
      <c r="BU26" s="158"/>
      <c r="BV26" s="148"/>
      <c r="BW26" s="148"/>
      <c r="BX26" s="148"/>
      <c r="BY26" s="148"/>
      <c r="BZ26" s="211"/>
      <c r="CA26" s="159"/>
      <c r="CB26" s="225"/>
      <c r="CC26" s="225"/>
      <c r="CD26" s="225"/>
      <c r="CE26" s="225"/>
      <c r="CF26" s="225"/>
      <c r="CG26" s="225"/>
      <c r="CH26" s="158"/>
      <c r="CI26" s="171"/>
      <c r="CJ26" s="171"/>
      <c r="CK26" s="171"/>
      <c r="CL26" s="171"/>
      <c r="CM26" s="171"/>
      <c r="CN26" s="171"/>
      <c r="CO26" s="171"/>
      <c r="CP26" s="171"/>
      <c r="CQ26" s="171"/>
      <c r="CR26" s="234"/>
      <c r="CS26" s="195"/>
      <c r="CT26" s="195"/>
      <c r="CU26" s="195"/>
      <c r="CV26" s="195"/>
      <c r="CW26" s="148"/>
      <c r="CX26" s="148"/>
      <c r="CY26" s="148"/>
      <c r="CZ26" s="211"/>
      <c r="DA26" s="148"/>
      <c r="DB26" s="148"/>
      <c r="DC26" s="148"/>
      <c r="DD26" s="148"/>
      <c r="DF26">
        <f t="shared" si="9"/>
        <v>0</v>
      </c>
      <c r="DG26">
        <f t="shared" si="11"/>
        <v>4</v>
      </c>
    </row>
    <row r="27" ht="15" spans="1:111">
      <c r="A27" s="137">
        <v>21</v>
      </c>
      <c r="B27" s="138"/>
      <c r="C27" s="148"/>
      <c r="D27" s="139"/>
      <c r="E27" s="139"/>
      <c r="F27" s="139"/>
      <c r="G27" s="148"/>
      <c r="H27" s="148"/>
      <c r="I27" s="158"/>
      <c r="J27" s="159"/>
      <c r="K27" s="159"/>
      <c r="L27" s="159"/>
      <c r="M27" s="159"/>
      <c r="N27" s="159"/>
      <c r="O27" s="159"/>
      <c r="P27" s="159"/>
      <c r="Q27" s="159"/>
      <c r="R27" s="158"/>
      <c r="S27" s="170"/>
      <c r="T27" s="170"/>
      <c r="U27" s="170"/>
      <c r="V27" s="170"/>
      <c r="W27" s="170"/>
      <c r="X27" s="170"/>
      <c r="Y27" s="170"/>
      <c r="Z27" s="170"/>
      <c r="AA27" s="170"/>
      <c r="AB27" s="170"/>
      <c r="AC27" s="158"/>
      <c r="AD27" s="189"/>
      <c r="AE27" s="190"/>
      <c r="AF27" s="190"/>
      <c r="AG27" s="190"/>
      <c r="AH27" s="189"/>
      <c r="AI27" s="139"/>
      <c r="AJ27" s="148"/>
      <c r="AK27" s="148"/>
      <c r="AL27" s="148"/>
      <c r="AM27" s="170"/>
      <c r="AN27" s="170"/>
      <c r="AO27" s="170"/>
      <c r="AP27" s="148"/>
      <c r="AQ27" s="148"/>
      <c r="AR27" s="148"/>
      <c r="AS27" s="148"/>
      <c r="AT27" s="148"/>
      <c r="AU27" s="158"/>
      <c r="AV27" s="159"/>
      <c r="AW27" s="159"/>
      <c r="AX27" s="159"/>
      <c r="AY27" s="159"/>
      <c r="AZ27" s="159"/>
      <c r="BA27" s="159"/>
      <c r="BB27" s="159"/>
      <c r="BC27" s="158"/>
      <c r="BD27" s="171"/>
      <c r="BE27" s="170"/>
      <c r="BF27" s="170"/>
      <c r="BG27" s="170"/>
      <c r="BH27" s="170"/>
      <c r="BI27" s="170"/>
      <c r="BJ27" s="170"/>
      <c r="BK27" s="158"/>
      <c r="BL27" s="190"/>
      <c r="BM27" s="189"/>
      <c r="BN27" s="189"/>
      <c r="BO27" s="189"/>
      <c r="BP27" s="189"/>
      <c r="BQ27" s="189"/>
      <c r="BR27" s="189"/>
      <c r="BS27" s="189"/>
      <c r="BT27" s="189"/>
      <c r="BU27" s="158"/>
      <c r="BV27" s="148"/>
      <c r="BW27" s="148"/>
      <c r="BX27" s="148"/>
      <c r="BY27" s="148"/>
      <c r="BZ27" s="211"/>
      <c r="CA27" s="159"/>
      <c r="CB27" s="225"/>
      <c r="CC27" s="225"/>
      <c r="CD27" s="225"/>
      <c r="CE27" s="225"/>
      <c r="CF27" s="225"/>
      <c r="CG27" s="225"/>
      <c r="CH27" s="158"/>
      <c r="CI27" s="171"/>
      <c r="CJ27" s="171"/>
      <c r="CK27" s="171"/>
      <c r="CL27" s="171"/>
      <c r="CM27" s="171"/>
      <c r="CN27" s="171"/>
      <c r="CO27" s="171"/>
      <c r="CP27" s="171"/>
      <c r="CQ27" s="171"/>
      <c r="CR27" s="158"/>
      <c r="CS27" s="189"/>
      <c r="CT27" s="189"/>
      <c r="CU27" s="189"/>
      <c r="CV27" s="189"/>
      <c r="CW27" s="148"/>
      <c r="CX27" s="148"/>
      <c r="CY27" s="148"/>
      <c r="CZ27" s="211"/>
      <c r="DA27" s="148"/>
      <c r="DB27" s="148"/>
      <c r="DC27" s="148"/>
      <c r="DD27" s="148"/>
      <c r="DF27">
        <f t="shared" si="9"/>
        <v>0</v>
      </c>
      <c r="DG27">
        <f t="shared" si="11"/>
        <v>4</v>
      </c>
    </row>
    <row r="28" ht="15" spans="1:111">
      <c r="A28" s="137">
        <v>22</v>
      </c>
      <c r="B28" s="138"/>
      <c r="C28" s="148"/>
      <c r="D28" s="139"/>
      <c r="E28" s="139"/>
      <c r="F28" s="139"/>
      <c r="G28" s="148"/>
      <c r="H28" s="148"/>
      <c r="I28" s="158"/>
      <c r="J28" s="159"/>
      <c r="K28" s="159"/>
      <c r="L28" s="159"/>
      <c r="M28" s="159"/>
      <c r="N28" s="159"/>
      <c r="O28" s="159"/>
      <c r="P28" s="159"/>
      <c r="Q28" s="159"/>
      <c r="R28" s="158"/>
      <c r="S28" s="170"/>
      <c r="T28" s="170"/>
      <c r="U28" s="170"/>
      <c r="V28" s="170"/>
      <c r="W28" s="170"/>
      <c r="X28" s="170"/>
      <c r="Y28" s="170"/>
      <c r="Z28" s="170"/>
      <c r="AA28" s="170"/>
      <c r="AB28" s="170"/>
      <c r="AC28" s="158"/>
      <c r="AD28" s="189"/>
      <c r="AE28" s="190"/>
      <c r="AF28" s="190"/>
      <c r="AG28" s="190"/>
      <c r="AH28" s="195"/>
      <c r="AI28" s="139"/>
      <c r="AJ28" s="148"/>
      <c r="AK28" s="148"/>
      <c r="AL28" s="148"/>
      <c r="AM28" s="170"/>
      <c r="AN28" s="170"/>
      <c r="AO28" s="170"/>
      <c r="AP28" s="148"/>
      <c r="AQ28" s="148"/>
      <c r="AR28" s="148"/>
      <c r="AS28" s="148"/>
      <c r="AT28" s="148"/>
      <c r="AU28" s="158"/>
      <c r="AV28" s="159"/>
      <c r="AW28" s="159"/>
      <c r="AX28" s="159"/>
      <c r="AY28" s="159"/>
      <c r="AZ28" s="159"/>
      <c r="BA28" s="159"/>
      <c r="BB28" s="159"/>
      <c r="BC28" s="158"/>
      <c r="BD28" s="171"/>
      <c r="BE28" s="170"/>
      <c r="BF28" s="170"/>
      <c r="BG28" s="170"/>
      <c r="BH28" s="170"/>
      <c r="BI28" s="170"/>
      <c r="BJ28" s="170"/>
      <c r="BK28" s="158"/>
      <c r="BL28" s="190"/>
      <c r="BM28" s="189"/>
      <c r="BN28" s="189"/>
      <c r="BO28" s="189"/>
      <c r="BP28" s="189"/>
      <c r="BQ28" s="189"/>
      <c r="BR28" s="189"/>
      <c r="BS28" s="189"/>
      <c r="BT28" s="189"/>
      <c r="BU28" s="158"/>
      <c r="BV28" s="148"/>
      <c r="BW28" s="148"/>
      <c r="BX28" s="148"/>
      <c r="BY28" s="148"/>
      <c r="BZ28" s="148"/>
      <c r="CA28" s="159"/>
      <c r="CB28" s="225"/>
      <c r="CC28" s="225"/>
      <c r="CD28" s="225"/>
      <c r="CE28" s="225"/>
      <c r="CF28" s="225"/>
      <c r="CG28" s="225"/>
      <c r="CH28" s="158"/>
      <c r="CI28" s="171"/>
      <c r="CJ28" s="171"/>
      <c r="CK28" s="171"/>
      <c r="CL28" s="171"/>
      <c r="CM28" s="171"/>
      <c r="CN28" s="171"/>
      <c r="CO28" s="171"/>
      <c r="CP28" s="171"/>
      <c r="CQ28" s="171"/>
      <c r="CR28" s="158"/>
      <c r="CS28" s="189"/>
      <c r="CT28" s="189"/>
      <c r="CU28" s="189"/>
      <c r="CV28" s="195"/>
      <c r="CW28" s="148"/>
      <c r="CX28" s="148"/>
      <c r="CY28" s="148"/>
      <c r="CZ28" s="148"/>
      <c r="DA28" s="148"/>
      <c r="DB28" s="148"/>
      <c r="DC28" s="148"/>
      <c r="DD28" s="148"/>
      <c r="DF28">
        <f t="shared" si="9"/>
        <v>0</v>
      </c>
      <c r="DG28">
        <f t="shared" si="11"/>
        <v>4</v>
      </c>
    </row>
    <row r="29" ht="15" spans="1:111">
      <c r="A29" s="137">
        <v>23</v>
      </c>
      <c r="B29" s="138"/>
      <c r="C29" s="148"/>
      <c r="D29" s="148"/>
      <c r="E29" s="148"/>
      <c r="F29" s="148"/>
      <c r="G29" s="148"/>
      <c r="H29" s="148"/>
      <c r="I29" s="158" t="e">
        <f t="shared" ref="I29:I36" si="12">ROUND(AVERAGE(D29:H29),0)</f>
        <v>#DIV/0!</v>
      </c>
      <c r="J29" s="159"/>
      <c r="K29" s="159"/>
      <c r="L29" s="159"/>
      <c r="M29" s="159"/>
      <c r="N29" s="159"/>
      <c r="O29" s="159"/>
      <c r="P29" s="159"/>
      <c r="Q29" s="159"/>
      <c r="R29" s="158" t="e">
        <f t="shared" ref="R29:R36" si="13">ROUND(AVERAGE(P29:Q29),0)</f>
        <v>#DIV/0!</v>
      </c>
      <c r="S29" s="170"/>
      <c r="T29" s="170"/>
      <c r="U29" s="170"/>
      <c r="V29" s="170"/>
      <c r="W29" s="170"/>
      <c r="X29" s="170"/>
      <c r="Y29" s="170"/>
      <c r="Z29" s="170"/>
      <c r="AA29" s="170"/>
      <c r="AB29" s="170"/>
      <c r="AC29" s="158" t="e">
        <f t="shared" ref="AC29:AC36" si="14">ROUND(AVERAGE(AB29:AB29),0)</f>
        <v>#DIV/0!</v>
      </c>
      <c r="AD29" s="189"/>
      <c r="AE29" s="190"/>
      <c r="AF29" s="190"/>
      <c r="AG29" s="190"/>
      <c r="AH29" s="189"/>
      <c r="AI29" s="139"/>
      <c r="AJ29" s="148"/>
      <c r="AK29" s="148"/>
      <c r="AL29" s="148"/>
      <c r="AM29" s="170"/>
      <c r="AN29" s="170"/>
      <c r="AO29" s="170"/>
      <c r="AP29" s="148"/>
      <c r="AQ29" s="148"/>
      <c r="AR29" s="148"/>
      <c r="AS29" s="148"/>
      <c r="AT29" s="148"/>
      <c r="AU29" s="158" t="e">
        <f t="shared" ref="AU29:AU36" si="15">ROUND(AVERAGE(AJ29:AT29),0)</f>
        <v>#DIV/0!</v>
      </c>
      <c r="AV29" s="159" t="str">
        <f t="shared" ref="AV29:AV37" si="16">IF(AW29&gt;=18,"AD",IF(AW29&gt;=15,"A",IF(AW29&gt;=11,"B"," ")))</f>
        <v> </v>
      </c>
      <c r="AW29" s="159"/>
      <c r="AX29" s="159"/>
      <c r="AY29" s="159"/>
      <c r="AZ29" s="159"/>
      <c r="BA29" s="159"/>
      <c r="BB29" s="159"/>
      <c r="BC29" s="158" t="e">
        <f t="shared" ref="BC29:BC37" si="17">ROUND(AVERAGE(AW29:BB29),0)</f>
        <v>#DIV/0!</v>
      </c>
      <c r="BD29" s="171" t="str">
        <f t="shared" ref="BD29:BD37" si="18">IF(BE29&gt;=18,"AD",IF(BE29&gt;=15,"A",IF(BE29&gt;=11,"B"," ")))</f>
        <v> </v>
      </c>
      <c r="BE29" s="170"/>
      <c r="BF29" s="170"/>
      <c r="BG29" s="170"/>
      <c r="BH29" s="170"/>
      <c r="BI29" s="170"/>
      <c r="BJ29" s="170"/>
      <c r="BK29" s="158" t="e">
        <f t="shared" ref="BK29:BK36" si="19">ROUND(AVERAGE(BE29:BJ29),0)</f>
        <v>#DIV/0!</v>
      </c>
      <c r="BL29" s="190" t="str">
        <f t="shared" ref="BL29:BL36" si="20">IF(BM29&gt;=18,"AD",IF(BM29&gt;=15,"A",IF(BM29&gt;=11,"B"," ")))</f>
        <v> </v>
      </c>
      <c r="BM29" s="189"/>
      <c r="BN29" s="189"/>
      <c r="BO29" s="189"/>
      <c r="BP29" s="189"/>
      <c r="BQ29" s="189"/>
      <c r="BR29" s="189"/>
      <c r="BS29" s="189"/>
      <c r="BT29" s="189"/>
      <c r="BU29" s="158" t="e">
        <f t="shared" ref="BU29:BU36" si="21">ROUND(AVERAGE(BM29:BT29),0)</f>
        <v>#DIV/0!</v>
      </c>
      <c r="BV29" s="148"/>
      <c r="BW29" s="148"/>
      <c r="BX29" s="148"/>
      <c r="BY29" s="148"/>
      <c r="BZ29" s="211"/>
      <c r="CA29" s="159" t="str">
        <f t="shared" ref="CA29:CA37" si="22">IF(CB29&gt;=18,"AD",IF(CB29&gt;=15,"A",IF(CB29&gt;=11,"B"," ")))</f>
        <v> </v>
      </c>
      <c r="CB29" s="225"/>
      <c r="CC29" s="225"/>
      <c r="CD29" s="225"/>
      <c r="CE29" s="225"/>
      <c r="CF29" s="225"/>
      <c r="CG29" s="225"/>
      <c r="CH29" s="158" t="e">
        <f t="shared" ref="CH29:CH36" si="23">ROUND(AVERAGE(CB29:CG29),0)</f>
        <v>#DIV/0!</v>
      </c>
      <c r="CI29" s="171" t="str">
        <f t="shared" ref="CI29:CI36" si="24">IF(CL29&gt;=18,"AD",IF(CL29&gt;=15,"A",IF(CL29&gt;=11,"B"," ")))</f>
        <v> </v>
      </c>
      <c r="CJ29" s="171"/>
      <c r="CK29" s="171"/>
      <c r="CL29" s="171"/>
      <c r="CM29" s="171"/>
      <c r="CN29" s="171"/>
      <c r="CO29" s="171"/>
      <c r="CP29" s="171"/>
      <c r="CQ29" s="171"/>
      <c r="CR29" s="158" t="e">
        <f t="shared" ref="CR29:CR36" si="25">ROUND(AVERAGE(CL29:CQ29),0)</f>
        <v>#DIV/0!</v>
      </c>
      <c r="CS29" s="189"/>
      <c r="CT29" s="189"/>
      <c r="CU29" s="189"/>
      <c r="CV29" s="189"/>
      <c r="CW29" s="148"/>
      <c r="CX29" s="148"/>
      <c r="CY29" s="148"/>
      <c r="CZ29" s="211"/>
      <c r="DA29" s="148"/>
      <c r="DB29" s="148"/>
      <c r="DC29" s="148"/>
      <c r="DD29" s="148"/>
      <c r="DF29">
        <f t="shared" si="9"/>
        <v>0</v>
      </c>
      <c r="DG29">
        <f t="shared" si="11"/>
        <v>4</v>
      </c>
    </row>
    <row r="30" ht="15" spans="1:111">
      <c r="A30" s="137">
        <v>24</v>
      </c>
      <c r="B30" s="138"/>
      <c r="C30" s="148"/>
      <c r="D30" s="148"/>
      <c r="E30" s="148"/>
      <c r="F30" s="148"/>
      <c r="G30" s="148"/>
      <c r="H30" s="148"/>
      <c r="I30" s="158" t="e">
        <f t="shared" si="12"/>
        <v>#DIV/0!</v>
      </c>
      <c r="J30" s="159"/>
      <c r="K30" s="159"/>
      <c r="L30" s="159"/>
      <c r="M30" s="159"/>
      <c r="N30" s="159"/>
      <c r="O30" s="159"/>
      <c r="P30" s="159"/>
      <c r="Q30" s="159"/>
      <c r="R30" s="158" t="e">
        <f t="shared" si="13"/>
        <v>#DIV/0!</v>
      </c>
      <c r="S30" s="170"/>
      <c r="T30" s="170"/>
      <c r="U30" s="170"/>
      <c r="V30" s="170"/>
      <c r="W30" s="170"/>
      <c r="X30" s="170"/>
      <c r="Y30" s="170"/>
      <c r="Z30" s="170"/>
      <c r="AA30" s="170"/>
      <c r="AB30" s="170"/>
      <c r="AC30" s="158" t="e">
        <f t="shared" si="14"/>
        <v>#DIV/0!</v>
      </c>
      <c r="AD30" s="189"/>
      <c r="AE30" s="190"/>
      <c r="AF30" s="190"/>
      <c r="AG30" s="190"/>
      <c r="AH30" s="189"/>
      <c r="AI30" s="139"/>
      <c r="AJ30" s="148"/>
      <c r="AK30" s="148"/>
      <c r="AL30" s="148"/>
      <c r="AM30" s="170"/>
      <c r="AN30" s="170"/>
      <c r="AO30" s="170"/>
      <c r="AP30" s="148"/>
      <c r="AQ30" s="148"/>
      <c r="AR30" s="148"/>
      <c r="AS30" s="148"/>
      <c r="AT30" s="148"/>
      <c r="AU30" s="158" t="e">
        <f t="shared" si="15"/>
        <v>#DIV/0!</v>
      </c>
      <c r="AV30" s="159" t="str">
        <f t="shared" si="16"/>
        <v> </v>
      </c>
      <c r="AW30" s="159"/>
      <c r="AX30" s="159"/>
      <c r="AY30" s="159"/>
      <c r="AZ30" s="159"/>
      <c r="BA30" s="159"/>
      <c r="BB30" s="159"/>
      <c r="BC30" s="158" t="e">
        <f t="shared" si="17"/>
        <v>#DIV/0!</v>
      </c>
      <c r="BD30" s="171" t="str">
        <f t="shared" si="18"/>
        <v> </v>
      </c>
      <c r="BE30" s="170"/>
      <c r="BF30" s="170"/>
      <c r="BG30" s="170"/>
      <c r="BH30" s="170"/>
      <c r="BI30" s="170"/>
      <c r="BJ30" s="170"/>
      <c r="BK30" s="158" t="e">
        <f t="shared" si="19"/>
        <v>#DIV/0!</v>
      </c>
      <c r="BL30" s="190" t="str">
        <f t="shared" si="20"/>
        <v> </v>
      </c>
      <c r="BM30" s="189"/>
      <c r="BN30" s="189"/>
      <c r="BO30" s="189"/>
      <c r="BP30" s="189"/>
      <c r="BQ30" s="189"/>
      <c r="BR30" s="189"/>
      <c r="BS30" s="189"/>
      <c r="BT30" s="189"/>
      <c r="BU30" s="158" t="e">
        <f t="shared" si="21"/>
        <v>#DIV/0!</v>
      </c>
      <c r="BV30" s="148"/>
      <c r="BW30" s="148"/>
      <c r="BX30" s="148"/>
      <c r="BY30" s="148"/>
      <c r="BZ30" s="211"/>
      <c r="CA30" s="159" t="str">
        <f t="shared" si="22"/>
        <v> </v>
      </c>
      <c r="CB30" s="225"/>
      <c r="CC30" s="225"/>
      <c r="CD30" s="225"/>
      <c r="CE30" s="225"/>
      <c r="CF30" s="225"/>
      <c r="CG30" s="225"/>
      <c r="CH30" s="158" t="e">
        <f t="shared" si="23"/>
        <v>#DIV/0!</v>
      </c>
      <c r="CI30" s="171" t="str">
        <f t="shared" si="24"/>
        <v> </v>
      </c>
      <c r="CJ30" s="171"/>
      <c r="CK30" s="171"/>
      <c r="CL30" s="171"/>
      <c r="CM30" s="171"/>
      <c r="CN30" s="171"/>
      <c r="CO30" s="171"/>
      <c r="CP30" s="171"/>
      <c r="CQ30" s="171"/>
      <c r="CR30" s="158" t="e">
        <f t="shared" si="25"/>
        <v>#DIV/0!</v>
      </c>
      <c r="CS30" s="189"/>
      <c r="CT30" s="189"/>
      <c r="CU30" s="189"/>
      <c r="CV30" s="189"/>
      <c r="CW30" s="148"/>
      <c r="CX30" s="148"/>
      <c r="CY30" s="148"/>
      <c r="CZ30" s="211"/>
      <c r="DA30" s="148"/>
      <c r="DB30" s="148"/>
      <c r="DC30" s="148"/>
      <c r="DD30" s="148"/>
      <c r="DF30">
        <f t="shared" si="9"/>
        <v>0</v>
      </c>
      <c r="DG30">
        <f t="shared" si="11"/>
        <v>4</v>
      </c>
    </row>
    <row r="31" ht="15" spans="1:111">
      <c r="A31" s="137">
        <v>25</v>
      </c>
      <c r="B31" s="138"/>
      <c r="C31" s="148"/>
      <c r="D31" s="148"/>
      <c r="E31" s="148"/>
      <c r="F31" s="148"/>
      <c r="G31" s="148"/>
      <c r="H31" s="148"/>
      <c r="I31" s="158" t="e">
        <f t="shared" si="12"/>
        <v>#DIV/0!</v>
      </c>
      <c r="J31" s="159"/>
      <c r="K31" s="159"/>
      <c r="L31" s="159"/>
      <c r="M31" s="159"/>
      <c r="N31" s="159"/>
      <c r="O31" s="159"/>
      <c r="P31" s="159"/>
      <c r="Q31" s="159"/>
      <c r="R31" s="158" t="e">
        <f t="shared" si="13"/>
        <v>#DIV/0!</v>
      </c>
      <c r="S31" s="170"/>
      <c r="T31" s="170"/>
      <c r="U31" s="170"/>
      <c r="V31" s="170"/>
      <c r="W31" s="170"/>
      <c r="X31" s="170"/>
      <c r="Y31" s="170"/>
      <c r="Z31" s="170"/>
      <c r="AA31" s="170"/>
      <c r="AB31" s="170"/>
      <c r="AC31" s="158" t="e">
        <f t="shared" si="14"/>
        <v>#DIV/0!</v>
      </c>
      <c r="AD31" s="197"/>
      <c r="AE31" s="198"/>
      <c r="AF31" s="198"/>
      <c r="AG31" s="198"/>
      <c r="AH31" s="197"/>
      <c r="AI31" s="139"/>
      <c r="AJ31" s="148"/>
      <c r="AK31" s="148"/>
      <c r="AL31" s="148"/>
      <c r="AM31" s="170"/>
      <c r="AN31" s="170"/>
      <c r="AO31" s="170"/>
      <c r="AP31" s="148"/>
      <c r="AQ31" s="148"/>
      <c r="AR31" s="148"/>
      <c r="AS31" s="148"/>
      <c r="AT31" s="148"/>
      <c r="AU31" s="158" t="e">
        <f t="shared" si="15"/>
        <v>#DIV/0!</v>
      </c>
      <c r="AV31" s="159" t="str">
        <f t="shared" si="16"/>
        <v> </v>
      </c>
      <c r="AW31" s="159"/>
      <c r="AX31" s="159"/>
      <c r="AY31" s="159"/>
      <c r="AZ31" s="159"/>
      <c r="BA31" s="159"/>
      <c r="BB31" s="159"/>
      <c r="BC31" s="158" t="e">
        <f t="shared" si="17"/>
        <v>#DIV/0!</v>
      </c>
      <c r="BD31" s="171" t="str">
        <f t="shared" si="18"/>
        <v> </v>
      </c>
      <c r="BE31" s="170"/>
      <c r="BF31" s="170"/>
      <c r="BG31" s="170"/>
      <c r="BH31" s="170"/>
      <c r="BI31" s="170"/>
      <c r="BJ31" s="170"/>
      <c r="BK31" s="158" t="e">
        <f t="shared" si="19"/>
        <v>#DIV/0!</v>
      </c>
      <c r="BL31" s="190" t="str">
        <f t="shared" si="20"/>
        <v> </v>
      </c>
      <c r="BM31" s="189"/>
      <c r="BN31" s="189"/>
      <c r="BO31" s="189"/>
      <c r="BP31" s="189"/>
      <c r="BQ31" s="189"/>
      <c r="BR31" s="189"/>
      <c r="BS31" s="189"/>
      <c r="BT31" s="189"/>
      <c r="BU31" s="158" t="e">
        <f t="shared" si="21"/>
        <v>#DIV/0!</v>
      </c>
      <c r="BV31" s="148"/>
      <c r="BW31" s="148"/>
      <c r="BX31" s="148"/>
      <c r="BY31" s="148"/>
      <c r="BZ31" s="148"/>
      <c r="CA31" s="159" t="str">
        <f t="shared" si="22"/>
        <v> </v>
      </c>
      <c r="CB31" s="225"/>
      <c r="CC31" s="225"/>
      <c r="CD31" s="225"/>
      <c r="CE31" s="225"/>
      <c r="CF31" s="225"/>
      <c r="CG31" s="225"/>
      <c r="CH31" s="158" t="e">
        <f t="shared" si="23"/>
        <v>#DIV/0!</v>
      </c>
      <c r="CI31" s="171" t="str">
        <f t="shared" si="24"/>
        <v> </v>
      </c>
      <c r="CJ31" s="171"/>
      <c r="CK31" s="171"/>
      <c r="CL31" s="171"/>
      <c r="CM31" s="171"/>
      <c r="CN31" s="171"/>
      <c r="CO31" s="171"/>
      <c r="CP31" s="171"/>
      <c r="CQ31" s="171"/>
      <c r="CR31" s="158" t="e">
        <f t="shared" si="25"/>
        <v>#DIV/0!</v>
      </c>
      <c r="CS31" s="197"/>
      <c r="CT31" s="197"/>
      <c r="CU31" s="197"/>
      <c r="CV31" s="197"/>
      <c r="CW31" s="148"/>
      <c r="CX31" s="148"/>
      <c r="CY31" s="148"/>
      <c r="CZ31" s="148"/>
      <c r="DA31" s="148"/>
      <c r="DB31" s="148"/>
      <c r="DC31" s="148"/>
      <c r="DD31" s="148"/>
      <c r="DF31">
        <f t="shared" si="9"/>
        <v>0</v>
      </c>
      <c r="DG31">
        <f t="shared" si="11"/>
        <v>4</v>
      </c>
    </row>
    <row r="32" ht="15" spans="1:111">
      <c r="A32" s="137">
        <v>26</v>
      </c>
      <c r="B32" s="138"/>
      <c r="C32" s="148"/>
      <c r="D32" s="148"/>
      <c r="E32" s="148"/>
      <c r="F32" s="148"/>
      <c r="G32" s="148"/>
      <c r="H32" s="148"/>
      <c r="I32" s="158" t="e">
        <f t="shared" si="12"/>
        <v>#DIV/0!</v>
      </c>
      <c r="J32" s="159"/>
      <c r="K32" s="159"/>
      <c r="L32" s="159"/>
      <c r="M32" s="159"/>
      <c r="N32" s="159"/>
      <c r="O32" s="159"/>
      <c r="P32" s="159"/>
      <c r="Q32" s="159"/>
      <c r="R32" s="158" t="e">
        <f t="shared" si="13"/>
        <v>#DIV/0!</v>
      </c>
      <c r="S32" s="170"/>
      <c r="T32" s="170"/>
      <c r="U32" s="170"/>
      <c r="V32" s="170"/>
      <c r="W32" s="170"/>
      <c r="X32" s="170"/>
      <c r="Y32" s="170"/>
      <c r="Z32" s="170"/>
      <c r="AA32" s="170"/>
      <c r="AB32" s="170"/>
      <c r="AC32" s="158" t="e">
        <f t="shared" si="14"/>
        <v>#DIV/0!</v>
      </c>
      <c r="AD32" s="189"/>
      <c r="AE32" s="190"/>
      <c r="AF32" s="190"/>
      <c r="AG32" s="190"/>
      <c r="AH32" s="189"/>
      <c r="AI32" s="139"/>
      <c r="AJ32" s="148"/>
      <c r="AK32" s="148"/>
      <c r="AL32" s="148"/>
      <c r="AM32" s="170"/>
      <c r="AN32" s="170"/>
      <c r="AO32" s="170"/>
      <c r="AP32" s="148"/>
      <c r="AQ32" s="148"/>
      <c r="AR32" s="148"/>
      <c r="AS32" s="148"/>
      <c r="AT32" s="148"/>
      <c r="AU32" s="158" t="e">
        <f t="shared" si="15"/>
        <v>#DIV/0!</v>
      </c>
      <c r="AV32" s="159" t="str">
        <f t="shared" si="16"/>
        <v> </v>
      </c>
      <c r="AW32" s="159"/>
      <c r="AX32" s="159"/>
      <c r="AY32" s="159"/>
      <c r="AZ32" s="159"/>
      <c r="BA32" s="159"/>
      <c r="BB32" s="159"/>
      <c r="BC32" s="158" t="e">
        <f t="shared" si="17"/>
        <v>#DIV/0!</v>
      </c>
      <c r="BD32" s="171" t="str">
        <f t="shared" si="18"/>
        <v> </v>
      </c>
      <c r="BE32" s="170"/>
      <c r="BF32" s="170"/>
      <c r="BG32" s="170"/>
      <c r="BH32" s="170"/>
      <c r="BI32" s="170"/>
      <c r="BJ32" s="170"/>
      <c r="BK32" s="158" t="e">
        <f t="shared" si="19"/>
        <v>#DIV/0!</v>
      </c>
      <c r="BL32" s="190" t="str">
        <f t="shared" si="20"/>
        <v> </v>
      </c>
      <c r="BM32" s="189"/>
      <c r="BN32" s="189"/>
      <c r="BO32" s="189"/>
      <c r="BP32" s="189"/>
      <c r="BQ32" s="189"/>
      <c r="BR32" s="189"/>
      <c r="BS32" s="189"/>
      <c r="BT32" s="189"/>
      <c r="BU32" s="158" t="e">
        <f t="shared" si="21"/>
        <v>#DIV/0!</v>
      </c>
      <c r="BV32" s="211"/>
      <c r="BW32" s="148"/>
      <c r="BX32" s="148"/>
      <c r="BY32" s="148"/>
      <c r="BZ32" s="211"/>
      <c r="CA32" s="159" t="str">
        <f t="shared" si="22"/>
        <v> </v>
      </c>
      <c r="CB32" s="225"/>
      <c r="CC32" s="225"/>
      <c r="CD32" s="225"/>
      <c r="CE32" s="225"/>
      <c r="CF32" s="225"/>
      <c r="CG32" s="225"/>
      <c r="CH32" s="158" t="e">
        <f t="shared" si="23"/>
        <v>#DIV/0!</v>
      </c>
      <c r="CI32" s="171" t="str">
        <f t="shared" si="24"/>
        <v> </v>
      </c>
      <c r="CJ32" s="171"/>
      <c r="CK32" s="171"/>
      <c r="CL32" s="171"/>
      <c r="CM32" s="171"/>
      <c r="CN32" s="171"/>
      <c r="CO32" s="171"/>
      <c r="CP32" s="171"/>
      <c r="CQ32" s="171"/>
      <c r="CR32" s="158" t="e">
        <f t="shared" si="25"/>
        <v>#DIV/0!</v>
      </c>
      <c r="CS32" s="189"/>
      <c r="CT32" s="189"/>
      <c r="CU32" s="189"/>
      <c r="CV32" s="189"/>
      <c r="CW32" s="211"/>
      <c r="CX32" s="148"/>
      <c r="CY32" s="148"/>
      <c r="CZ32" s="211"/>
      <c r="DA32" s="148"/>
      <c r="DB32" s="148"/>
      <c r="DC32" s="148"/>
      <c r="DD32" s="148"/>
      <c r="DF32">
        <f t="shared" si="9"/>
        <v>0</v>
      </c>
      <c r="DG32">
        <f t="shared" si="11"/>
        <v>4</v>
      </c>
    </row>
    <row r="33" ht="15" spans="1:111">
      <c r="A33" s="137">
        <v>27</v>
      </c>
      <c r="B33" s="138"/>
      <c r="C33" s="148"/>
      <c r="D33" s="148"/>
      <c r="E33" s="148"/>
      <c r="F33" s="148"/>
      <c r="G33" s="148"/>
      <c r="H33" s="148"/>
      <c r="I33" s="158" t="e">
        <f t="shared" si="12"/>
        <v>#DIV/0!</v>
      </c>
      <c r="J33" s="159"/>
      <c r="K33" s="159"/>
      <c r="L33" s="159"/>
      <c r="M33" s="159"/>
      <c r="N33" s="159"/>
      <c r="O33" s="159"/>
      <c r="P33" s="159"/>
      <c r="Q33" s="159"/>
      <c r="R33" s="158" t="e">
        <f t="shared" si="13"/>
        <v>#DIV/0!</v>
      </c>
      <c r="S33" s="170"/>
      <c r="T33" s="170"/>
      <c r="U33" s="170"/>
      <c r="V33" s="170"/>
      <c r="W33" s="170"/>
      <c r="X33" s="170"/>
      <c r="Y33" s="170"/>
      <c r="Z33" s="170"/>
      <c r="AA33" s="170"/>
      <c r="AB33" s="170"/>
      <c r="AC33" s="158" t="e">
        <f t="shared" si="14"/>
        <v>#DIV/0!</v>
      </c>
      <c r="AD33" s="189"/>
      <c r="AE33" s="190"/>
      <c r="AF33" s="190"/>
      <c r="AG33" s="190"/>
      <c r="AH33" s="189"/>
      <c r="AI33" s="139"/>
      <c r="AJ33" s="148"/>
      <c r="AK33" s="148"/>
      <c r="AL33" s="148"/>
      <c r="AM33" s="170"/>
      <c r="AN33" s="170"/>
      <c r="AO33" s="170"/>
      <c r="AP33" s="148"/>
      <c r="AQ33" s="148"/>
      <c r="AR33" s="148"/>
      <c r="AS33" s="148"/>
      <c r="AT33" s="148"/>
      <c r="AU33" s="158" t="e">
        <f t="shared" si="15"/>
        <v>#DIV/0!</v>
      </c>
      <c r="AV33" s="159" t="str">
        <f t="shared" si="16"/>
        <v> </v>
      </c>
      <c r="AW33" s="159"/>
      <c r="AX33" s="159"/>
      <c r="AY33" s="159"/>
      <c r="AZ33" s="159"/>
      <c r="BA33" s="159"/>
      <c r="BB33" s="159"/>
      <c r="BC33" s="158" t="e">
        <f t="shared" si="17"/>
        <v>#DIV/0!</v>
      </c>
      <c r="BD33" s="171" t="str">
        <f t="shared" si="18"/>
        <v> </v>
      </c>
      <c r="BE33" s="170"/>
      <c r="BF33" s="170"/>
      <c r="BG33" s="170"/>
      <c r="BH33" s="170"/>
      <c r="BI33" s="170"/>
      <c r="BJ33" s="170"/>
      <c r="BK33" s="158" t="e">
        <f t="shared" si="19"/>
        <v>#DIV/0!</v>
      </c>
      <c r="BL33" s="190" t="str">
        <f t="shared" si="20"/>
        <v> </v>
      </c>
      <c r="BM33" s="189"/>
      <c r="BN33" s="189"/>
      <c r="BO33" s="189"/>
      <c r="BP33" s="189"/>
      <c r="BQ33" s="189"/>
      <c r="BR33" s="189"/>
      <c r="BS33" s="189"/>
      <c r="BT33" s="189"/>
      <c r="BU33" s="158" t="e">
        <f t="shared" si="21"/>
        <v>#DIV/0!</v>
      </c>
      <c r="BV33" s="148"/>
      <c r="BW33" s="148"/>
      <c r="BX33" s="148"/>
      <c r="BY33" s="148"/>
      <c r="BZ33" s="148"/>
      <c r="CA33" s="159" t="str">
        <f t="shared" si="22"/>
        <v> </v>
      </c>
      <c r="CB33" s="225"/>
      <c r="CC33" s="225"/>
      <c r="CD33" s="225"/>
      <c r="CE33" s="225"/>
      <c r="CF33" s="225"/>
      <c r="CG33" s="225"/>
      <c r="CH33" s="158" t="e">
        <f t="shared" si="23"/>
        <v>#DIV/0!</v>
      </c>
      <c r="CI33" s="171" t="str">
        <f t="shared" si="24"/>
        <v> </v>
      </c>
      <c r="CJ33" s="171"/>
      <c r="CK33" s="171"/>
      <c r="CL33" s="171"/>
      <c r="CM33" s="171"/>
      <c r="CN33" s="171"/>
      <c r="CO33" s="171"/>
      <c r="CP33" s="171"/>
      <c r="CQ33" s="171"/>
      <c r="CR33" s="158" t="e">
        <f t="shared" si="25"/>
        <v>#DIV/0!</v>
      </c>
      <c r="CS33" s="189"/>
      <c r="CT33" s="189"/>
      <c r="CU33" s="189"/>
      <c r="CV33" s="189"/>
      <c r="CW33" s="148"/>
      <c r="CX33" s="148"/>
      <c r="CY33" s="148"/>
      <c r="CZ33" s="148"/>
      <c r="DA33" s="148"/>
      <c r="DB33" s="148"/>
      <c r="DC33" s="148"/>
      <c r="DD33" s="148"/>
      <c r="DF33">
        <f t="shared" si="9"/>
        <v>0</v>
      </c>
      <c r="DG33">
        <f t="shared" si="11"/>
        <v>4</v>
      </c>
    </row>
    <row r="34" ht="15" spans="1:111">
      <c r="A34" s="137">
        <v>28</v>
      </c>
      <c r="B34" s="138"/>
      <c r="C34" s="148"/>
      <c r="D34" s="148"/>
      <c r="E34" s="148"/>
      <c r="F34" s="148"/>
      <c r="G34" s="148"/>
      <c r="H34" s="148"/>
      <c r="I34" s="158" t="e">
        <f t="shared" si="12"/>
        <v>#DIV/0!</v>
      </c>
      <c r="J34" s="159"/>
      <c r="K34" s="159"/>
      <c r="L34" s="159"/>
      <c r="M34" s="159"/>
      <c r="N34" s="159"/>
      <c r="O34" s="159"/>
      <c r="P34" s="159"/>
      <c r="Q34" s="159"/>
      <c r="R34" s="158" t="e">
        <f t="shared" si="13"/>
        <v>#DIV/0!</v>
      </c>
      <c r="S34" s="170"/>
      <c r="T34" s="170"/>
      <c r="U34" s="170"/>
      <c r="V34" s="170"/>
      <c r="W34" s="170"/>
      <c r="X34" s="170"/>
      <c r="Y34" s="170"/>
      <c r="Z34" s="170"/>
      <c r="AA34" s="170"/>
      <c r="AB34" s="170"/>
      <c r="AC34" s="158" t="e">
        <f t="shared" si="14"/>
        <v>#DIV/0!</v>
      </c>
      <c r="AD34" s="189"/>
      <c r="AE34" s="190"/>
      <c r="AF34" s="190"/>
      <c r="AG34" s="190"/>
      <c r="AH34" s="189"/>
      <c r="AI34" s="139"/>
      <c r="AJ34" s="148"/>
      <c r="AK34" s="148"/>
      <c r="AL34" s="148"/>
      <c r="AM34" s="170"/>
      <c r="AN34" s="170"/>
      <c r="AO34" s="170"/>
      <c r="AP34" s="148"/>
      <c r="AQ34" s="148"/>
      <c r="AR34" s="148"/>
      <c r="AS34" s="148"/>
      <c r="AT34" s="148"/>
      <c r="AU34" s="158" t="e">
        <f t="shared" si="15"/>
        <v>#DIV/0!</v>
      </c>
      <c r="AV34" s="159" t="str">
        <f t="shared" si="16"/>
        <v> </v>
      </c>
      <c r="AW34" s="159"/>
      <c r="AX34" s="159"/>
      <c r="AY34" s="159"/>
      <c r="AZ34" s="159"/>
      <c r="BA34" s="159"/>
      <c r="BB34" s="159"/>
      <c r="BC34" s="158" t="e">
        <f t="shared" si="17"/>
        <v>#DIV/0!</v>
      </c>
      <c r="BD34" s="171" t="str">
        <f t="shared" si="18"/>
        <v> </v>
      </c>
      <c r="BE34" s="170"/>
      <c r="BF34" s="170"/>
      <c r="BG34" s="170"/>
      <c r="BH34" s="170"/>
      <c r="BI34" s="170"/>
      <c r="BJ34" s="170"/>
      <c r="BK34" s="158" t="e">
        <f t="shared" si="19"/>
        <v>#DIV/0!</v>
      </c>
      <c r="BL34" s="190" t="str">
        <f t="shared" si="20"/>
        <v> </v>
      </c>
      <c r="BM34" s="189"/>
      <c r="BN34" s="189"/>
      <c r="BO34" s="189"/>
      <c r="BP34" s="189"/>
      <c r="BQ34" s="189"/>
      <c r="BR34" s="189"/>
      <c r="BS34" s="189"/>
      <c r="BT34" s="189"/>
      <c r="BU34" s="158" t="e">
        <f t="shared" si="21"/>
        <v>#DIV/0!</v>
      </c>
      <c r="BV34" s="148"/>
      <c r="BW34" s="148"/>
      <c r="BX34" s="148"/>
      <c r="BY34" s="148"/>
      <c r="BZ34" s="211"/>
      <c r="CA34" s="159" t="str">
        <f t="shared" si="22"/>
        <v> </v>
      </c>
      <c r="CB34" s="225"/>
      <c r="CC34" s="225"/>
      <c r="CD34" s="225"/>
      <c r="CE34" s="225"/>
      <c r="CF34" s="225"/>
      <c r="CG34" s="225"/>
      <c r="CH34" s="158" t="e">
        <f t="shared" si="23"/>
        <v>#DIV/0!</v>
      </c>
      <c r="CI34" s="171" t="str">
        <f t="shared" si="24"/>
        <v> </v>
      </c>
      <c r="CJ34" s="171"/>
      <c r="CK34" s="171"/>
      <c r="CL34" s="171"/>
      <c r="CM34" s="171"/>
      <c r="CN34" s="171"/>
      <c r="CO34" s="171"/>
      <c r="CP34" s="171"/>
      <c r="CQ34" s="171"/>
      <c r="CR34" s="158" t="e">
        <f t="shared" si="25"/>
        <v>#DIV/0!</v>
      </c>
      <c r="CS34" s="189"/>
      <c r="CT34" s="189"/>
      <c r="CU34" s="189"/>
      <c r="CV34" s="189"/>
      <c r="CW34" s="148"/>
      <c r="CX34" s="148"/>
      <c r="CY34" s="148"/>
      <c r="CZ34" s="211"/>
      <c r="DA34" s="159"/>
      <c r="DB34" s="159"/>
      <c r="DC34" s="159"/>
      <c r="DD34" s="159"/>
      <c r="DF34">
        <f t="shared" si="9"/>
        <v>0</v>
      </c>
      <c r="DG34">
        <f t="shared" si="11"/>
        <v>4</v>
      </c>
    </row>
    <row r="35" ht="15" spans="1:111">
      <c r="A35" s="137">
        <v>29</v>
      </c>
      <c r="B35" s="138"/>
      <c r="C35" s="148"/>
      <c r="D35" s="148"/>
      <c r="E35" s="148"/>
      <c r="F35" s="148"/>
      <c r="G35" s="148"/>
      <c r="H35" s="148"/>
      <c r="I35" s="158" t="e">
        <f t="shared" si="12"/>
        <v>#DIV/0!</v>
      </c>
      <c r="J35" s="159"/>
      <c r="K35" s="159"/>
      <c r="L35" s="159"/>
      <c r="M35" s="159"/>
      <c r="N35" s="159"/>
      <c r="O35" s="159"/>
      <c r="P35" s="159"/>
      <c r="Q35" s="159"/>
      <c r="R35" s="158" t="e">
        <f t="shared" si="13"/>
        <v>#DIV/0!</v>
      </c>
      <c r="S35" s="170"/>
      <c r="T35" s="170"/>
      <c r="U35" s="170"/>
      <c r="V35" s="170"/>
      <c r="W35" s="170"/>
      <c r="X35" s="170"/>
      <c r="Y35" s="170"/>
      <c r="Z35" s="170"/>
      <c r="AA35" s="170"/>
      <c r="AB35" s="170"/>
      <c r="AC35" s="158" t="e">
        <f t="shared" si="14"/>
        <v>#DIV/0!</v>
      </c>
      <c r="AD35" s="189"/>
      <c r="AE35" s="190"/>
      <c r="AF35" s="190"/>
      <c r="AG35" s="190"/>
      <c r="AH35" s="189"/>
      <c r="AI35" s="139"/>
      <c r="AJ35" s="148"/>
      <c r="AK35" s="148"/>
      <c r="AL35" s="148"/>
      <c r="AM35" s="170"/>
      <c r="AN35" s="170"/>
      <c r="AO35" s="170"/>
      <c r="AP35" s="148"/>
      <c r="AQ35" s="148"/>
      <c r="AR35" s="148"/>
      <c r="AS35" s="148"/>
      <c r="AT35" s="148"/>
      <c r="AU35" s="158" t="e">
        <f t="shared" si="15"/>
        <v>#DIV/0!</v>
      </c>
      <c r="AV35" s="159" t="str">
        <f t="shared" si="16"/>
        <v> </v>
      </c>
      <c r="AW35" s="159"/>
      <c r="AX35" s="159"/>
      <c r="AY35" s="159"/>
      <c r="AZ35" s="159"/>
      <c r="BA35" s="159"/>
      <c r="BB35" s="159"/>
      <c r="BC35" s="158" t="e">
        <f t="shared" si="17"/>
        <v>#DIV/0!</v>
      </c>
      <c r="BD35" s="171" t="str">
        <f t="shared" si="18"/>
        <v> </v>
      </c>
      <c r="BE35" s="170"/>
      <c r="BF35" s="170"/>
      <c r="BG35" s="170"/>
      <c r="BH35" s="170"/>
      <c r="BI35" s="170"/>
      <c r="BJ35" s="170"/>
      <c r="BK35" s="158" t="e">
        <f t="shared" si="19"/>
        <v>#DIV/0!</v>
      </c>
      <c r="BL35" s="190" t="str">
        <f t="shared" si="20"/>
        <v> </v>
      </c>
      <c r="BM35" s="189"/>
      <c r="BN35" s="189"/>
      <c r="BO35" s="189"/>
      <c r="BP35" s="189"/>
      <c r="BQ35" s="189"/>
      <c r="BR35" s="189"/>
      <c r="BS35" s="189"/>
      <c r="BT35" s="189"/>
      <c r="BU35" s="158" t="e">
        <f t="shared" si="21"/>
        <v>#DIV/0!</v>
      </c>
      <c r="BV35" s="148"/>
      <c r="BW35" s="148"/>
      <c r="BX35" s="148"/>
      <c r="BY35" s="148"/>
      <c r="BZ35" s="148"/>
      <c r="CA35" s="159" t="str">
        <f t="shared" si="22"/>
        <v> </v>
      </c>
      <c r="CB35" s="225"/>
      <c r="CC35" s="225"/>
      <c r="CD35" s="225"/>
      <c r="CE35" s="225"/>
      <c r="CF35" s="225"/>
      <c r="CG35" s="225"/>
      <c r="CH35" s="158" t="e">
        <f t="shared" si="23"/>
        <v>#DIV/0!</v>
      </c>
      <c r="CI35" s="171" t="str">
        <f t="shared" si="24"/>
        <v> </v>
      </c>
      <c r="CJ35" s="171"/>
      <c r="CK35" s="171"/>
      <c r="CL35" s="171"/>
      <c r="CM35" s="171"/>
      <c r="CN35" s="171"/>
      <c r="CO35" s="171"/>
      <c r="CP35" s="171"/>
      <c r="CQ35" s="171"/>
      <c r="CR35" s="158" t="e">
        <f t="shared" si="25"/>
        <v>#DIV/0!</v>
      </c>
      <c r="CS35" s="189"/>
      <c r="CT35" s="189"/>
      <c r="CU35" s="189"/>
      <c r="CV35" s="189"/>
      <c r="CW35" s="148"/>
      <c r="CX35" s="148"/>
      <c r="CY35" s="148"/>
      <c r="CZ35" s="148"/>
      <c r="DA35" s="159"/>
      <c r="DB35" s="159"/>
      <c r="DC35" s="159"/>
      <c r="DD35" s="159"/>
      <c r="DF35">
        <f t="shared" si="9"/>
        <v>0</v>
      </c>
      <c r="DG35">
        <f t="shared" si="11"/>
        <v>4</v>
      </c>
    </row>
    <row r="36" ht="15" spans="1:110">
      <c r="A36" s="137">
        <v>30</v>
      </c>
      <c r="B36" s="138"/>
      <c r="C36" s="148"/>
      <c r="D36" s="148"/>
      <c r="E36" s="148"/>
      <c r="F36" s="148"/>
      <c r="G36" s="148"/>
      <c r="H36" s="148"/>
      <c r="I36" s="158" t="e">
        <f t="shared" si="12"/>
        <v>#DIV/0!</v>
      </c>
      <c r="J36" s="159"/>
      <c r="K36" s="159"/>
      <c r="L36" s="159"/>
      <c r="M36" s="159"/>
      <c r="N36" s="159"/>
      <c r="O36" s="159"/>
      <c r="P36" s="159"/>
      <c r="Q36" s="159"/>
      <c r="R36" s="158" t="e">
        <f t="shared" si="13"/>
        <v>#DIV/0!</v>
      </c>
      <c r="S36" s="170"/>
      <c r="T36" s="170"/>
      <c r="U36" s="170"/>
      <c r="V36" s="170"/>
      <c r="W36" s="170"/>
      <c r="X36" s="170"/>
      <c r="Y36" s="170"/>
      <c r="Z36" s="170"/>
      <c r="AA36" s="170"/>
      <c r="AB36" s="170"/>
      <c r="AC36" s="158" t="e">
        <f t="shared" si="14"/>
        <v>#DIV/0!</v>
      </c>
      <c r="AD36" s="189"/>
      <c r="AE36" s="189"/>
      <c r="AF36" s="189"/>
      <c r="AG36" s="189"/>
      <c r="AH36" s="189"/>
      <c r="AI36" s="139"/>
      <c r="AJ36" s="139"/>
      <c r="AK36" s="139"/>
      <c r="AL36" s="139"/>
      <c r="AM36" s="170"/>
      <c r="AN36" s="170"/>
      <c r="AO36" s="170"/>
      <c r="AP36" s="139"/>
      <c r="AQ36" s="139"/>
      <c r="AR36" s="139"/>
      <c r="AS36" s="139"/>
      <c r="AT36" s="139"/>
      <c r="AU36" s="158" t="e">
        <f t="shared" si="15"/>
        <v>#DIV/0!</v>
      </c>
      <c r="AV36" s="159" t="str">
        <f t="shared" si="16"/>
        <v> </v>
      </c>
      <c r="AW36" s="159"/>
      <c r="AX36" s="159"/>
      <c r="AY36" s="159"/>
      <c r="AZ36" s="159"/>
      <c r="BA36" s="159"/>
      <c r="BB36" s="159"/>
      <c r="BC36" s="158" t="e">
        <f t="shared" si="17"/>
        <v>#DIV/0!</v>
      </c>
      <c r="BD36" s="171" t="str">
        <f t="shared" si="18"/>
        <v> </v>
      </c>
      <c r="BE36" s="171"/>
      <c r="BF36" s="171"/>
      <c r="BG36" s="171"/>
      <c r="BH36" s="171"/>
      <c r="BI36" s="171"/>
      <c r="BJ36" s="171"/>
      <c r="BK36" s="158" t="e">
        <f t="shared" si="19"/>
        <v>#DIV/0!</v>
      </c>
      <c r="BL36" s="190" t="str">
        <f t="shared" si="20"/>
        <v> </v>
      </c>
      <c r="BM36" s="190"/>
      <c r="BN36" s="190"/>
      <c r="BO36" s="190"/>
      <c r="BP36" s="190"/>
      <c r="BQ36" s="190"/>
      <c r="BR36" s="190"/>
      <c r="BS36" s="190"/>
      <c r="BT36" s="190"/>
      <c r="BU36" s="158" t="e">
        <f t="shared" si="21"/>
        <v>#DIV/0!</v>
      </c>
      <c r="BV36" s="227"/>
      <c r="BW36" s="227"/>
      <c r="BX36" s="227"/>
      <c r="BY36" s="227"/>
      <c r="BZ36" s="227"/>
      <c r="CA36" s="228" t="str">
        <f t="shared" si="22"/>
        <v> </v>
      </c>
      <c r="CB36" s="228"/>
      <c r="CC36" s="158"/>
      <c r="CD36" s="158"/>
      <c r="CE36" s="158"/>
      <c r="CF36" s="158"/>
      <c r="CG36" s="227"/>
      <c r="CH36" s="158" t="e">
        <f t="shared" si="23"/>
        <v>#DIV/0!</v>
      </c>
      <c r="CI36" s="171" t="str">
        <f t="shared" si="24"/>
        <v> </v>
      </c>
      <c r="CJ36" s="171"/>
      <c r="CK36" s="171"/>
      <c r="CL36" s="171"/>
      <c r="CM36" s="171"/>
      <c r="CN36" s="171"/>
      <c r="CO36" s="171"/>
      <c r="CP36" s="171"/>
      <c r="CQ36" s="171"/>
      <c r="CR36" s="158" t="e">
        <f t="shared" si="25"/>
        <v>#DIV/0!</v>
      </c>
      <c r="CS36" s="235"/>
      <c r="CT36" s="235"/>
      <c r="CU36" s="235"/>
      <c r="CV36" s="235"/>
      <c r="CW36" s="227"/>
      <c r="CX36" s="227"/>
      <c r="CY36" s="227"/>
      <c r="CZ36" s="227"/>
      <c r="DA36" s="228"/>
      <c r="DB36" s="228"/>
      <c r="DC36" s="228"/>
      <c r="DD36" s="228"/>
      <c r="DF36">
        <f t="shared" si="9"/>
        <v>0</v>
      </c>
    </row>
    <row r="37" spans="1:108">
      <c r="A37" s="137">
        <v>31</v>
      </c>
      <c r="B37" s="138"/>
      <c r="C37" s="139"/>
      <c r="D37" s="148"/>
      <c r="E37" s="148"/>
      <c r="F37" s="148"/>
      <c r="G37" s="148"/>
      <c r="H37" s="148"/>
      <c r="I37" s="148"/>
      <c r="J37" s="159" t="str">
        <f t="shared" ref="J37" si="26">IF(P37&gt;=18,"AD",IF(P37&gt;=15,"A",IF(P37&gt;=11,"B"," ")))</f>
        <v> </v>
      </c>
      <c r="K37" s="159"/>
      <c r="L37" s="159"/>
      <c r="M37" s="159"/>
      <c r="N37" s="159"/>
      <c r="O37" s="159"/>
      <c r="P37" s="159"/>
      <c r="Q37" s="159"/>
      <c r="R37" s="159"/>
      <c r="S37" s="170"/>
      <c r="T37" s="170"/>
      <c r="U37" s="170"/>
      <c r="V37" s="170"/>
      <c r="W37" s="170"/>
      <c r="X37" s="170"/>
      <c r="Y37" s="170"/>
      <c r="Z37" s="170"/>
      <c r="AA37" s="170"/>
      <c r="AB37" s="170"/>
      <c r="AC37" s="159"/>
      <c r="AD37" s="195"/>
      <c r="AE37" s="189"/>
      <c r="AF37" s="189"/>
      <c r="AG37" s="189"/>
      <c r="AH37" s="195"/>
      <c r="AI37" s="139"/>
      <c r="AJ37" s="148"/>
      <c r="AK37" s="148"/>
      <c r="AL37" s="148"/>
      <c r="AM37" s="170"/>
      <c r="AN37" s="170"/>
      <c r="AO37" s="170"/>
      <c r="AP37" s="148"/>
      <c r="AQ37" s="148"/>
      <c r="AR37" s="148"/>
      <c r="AS37" s="148"/>
      <c r="AT37" s="148"/>
      <c r="AU37" s="139"/>
      <c r="AV37" s="159" t="str">
        <f t="shared" si="16"/>
        <v> </v>
      </c>
      <c r="AW37" s="159"/>
      <c r="AX37" s="159"/>
      <c r="AY37" s="159"/>
      <c r="AZ37" s="159"/>
      <c r="BA37" s="159"/>
      <c r="BB37" s="159"/>
      <c r="BC37" s="159" t="e">
        <f t="shared" si="17"/>
        <v>#DIV/0!</v>
      </c>
      <c r="BD37" s="171" t="str">
        <f t="shared" si="18"/>
        <v> </v>
      </c>
      <c r="BE37" s="170"/>
      <c r="BF37" s="170"/>
      <c r="BG37" s="170"/>
      <c r="BH37" s="170"/>
      <c r="BI37" s="170"/>
      <c r="BJ37" s="170"/>
      <c r="BK37" s="170"/>
      <c r="BL37" s="195"/>
      <c r="BM37" s="189"/>
      <c r="BN37" s="189"/>
      <c r="BO37" s="189"/>
      <c r="BP37" s="189"/>
      <c r="BQ37" s="189"/>
      <c r="BR37" s="189"/>
      <c r="BS37" s="189"/>
      <c r="BT37" s="195"/>
      <c r="BU37" s="229"/>
      <c r="BV37" s="148"/>
      <c r="BW37" s="148"/>
      <c r="BX37" s="148"/>
      <c r="BY37" s="148"/>
      <c r="BZ37" s="148"/>
      <c r="CA37" s="159" t="str">
        <f t="shared" si="22"/>
        <v> </v>
      </c>
      <c r="CB37" s="159"/>
      <c r="CC37" s="159"/>
      <c r="CD37" s="159"/>
      <c r="CE37" s="159"/>
      <c r="CF37" s="159"/>
      <c r="CG37" s="159"/>
      <c r="CH37" s="159"/>
      <c r="CI37" s="170"/>
      <c r="CJ37" s="170"/>
      <c r="CK37" s="170"/>
      <c r="CL37" s="170"/>
      <c r="CM37" s="170"/>
      <c r="CN37" s="170"/>
      <c r="CO37" s="170"/>
      <c r="CP37" s="170"/>
      <c r="CQ37" s="170"/>
      <c r="CR37" s="170"/>
      <c r="CS37" s="195"/>
      <c r="CT37" s="189"/>
      <c r="CU37" s="189"/>
      <c r="CV37" s="195"/>
      <c r="CW37" s="148"/>
      <c r="CX37" s="148"/>
      <c r="CY37" s="148"/>
      <c r="CZ37" s="148"/>
      <c r="DA37" s="159"/>
      <c r="DB37" s="159"/>
      <c r="DC37" s="159"/>
      <c r="DD37" s="159"/>
    </row>
    <row r="38" spans="1:108">
      <c r="A38" s="137">
        <v>32</v>
      </c>
      <c r="B38" s="138">
        <f>'RELACION ESTUDIANTES - 2022'!B37</f>
        <v>0</v>
      </c>
      <c r="C38" s="148"/>
      <c r="D38" s="148" t="s">
        <v>232</v>
      </c>
      <c r="E38" s="148" t="s">
        <v>233</v>
      </c>
      <c r="F38" s="148" t="s">
        <v>234</v>
      </c>
      <c r="G38" s="148"/>
      <c r="H38" s="148"/>
      <c r="I38" s="148"/>
      <c r="J38" s="159"/>
      <c r="K38" s="159" t="s">
        <v>235</v>
      </c>
      <c r="L38" s="159" t="s">
        <v>236</v>
      </c>
      <c r="M38" s="159" t="s">
        <v>109</v>
      </c>
      <c r="N38" s="159" t="s">
        <v>108</v>
      </c>
      <c r="O38" s="159" t="s">
        <v>271</v>
      </c>
      <c r="P38" s="159" t="s">
        <v>237</v>
      </c>
      <c r="Q38" s="159"/>
      <c r="R38" s="159"/>
      <c r="S38" s="170"/>
      <c r="T38" s="170"/>
      <c r="U38" s="170"/>
      <c r="V38" s="170"/>
      <c r="W38" s="170"/>
      <c r="X38" s="170"/>
      <c r="Y38" s="170"/>
      <c r="Z38" s="170"/>
      <c r="AA38" s="170"/>
      <c r="AB38" s="170"/>
      <c r="AC38" s="170"/>
      <c r="AD38" s="189"/>
      <c r="AE38" s="189"/>
      <c r="AF38" s="189"/>
      <c r="AG38" s="189"/>
      <c r="AH38" s="195"/>
      <c r="AI38" s="148"/>
      <c r="AJ38" s="148" t="s">
        <v>108</v>
      </c>
      <c r="AK38" s="148" t="s">
        <v>108</v>
      </c>
      <c r="AL38" s="148" t="s">
        <v>109</v>
      </c>
      <c r="AM38" s="170"/>
      <c r="AN38" s="170"/>
      <c r="AO38" s="170"/>
      <c r="AP38" s="148"/>
      <c r="AQ38" s="148" t="s">
        <v>271</v>
      </c>
      <c r="AR38" s="148"/>
      <c r="AS38" s="148"/>
      <c r="AT38" s="211"/>
      <c r="AU38" s="212"/>
      <c r="AV38" s="159"/>
      <c r="AW38" s="159" t="s">
        <v>108</v>
      </c>
      <c r="AX38" s="159" t="s">
        <v>108</v>
      </c>
      <c r="AY38" s="159" t="s">
        <v>109</v>
      </c>
      <c r="AZ38" s="159"/>
      <c r="BA38" s="159" t="s">
        <v>110</v>
      </c>
      <c r="BB38" s="159"/>
      <c r="BC38" s="159"/>
      <c r="BD38" s="170"/>
      <c r="BE38" s="170"/>
      <c r="BF38" s="170"/>
      <c r="BG38" s="170" t="s">
        <v>109</v>
      </c>
      <c r="BH38" s="170"/>
      <c r="BI38" s="170"/>
      <c r="BJ38" s="170"/>
      <c r="BK38" s="170"/>
      <c r="BL38" s="189"/>
      <c r="BM38" s="189"/>
      <c r="BN38" s="189"/>
      <c r="BO38" s="189"/>
      <c r="BP38" s="189"/>
      <c r="BQ38" s="189"/>
      <c r="BR38" s="189"/>
      <c r="BS38" s="189"/>
      <c r="BT38" s="195"/>
      <c r="BU38" s="229"/>
      <c r="BV38" s="148"/>
      <c r="BW38" s="148"/>
      <c r="BX38" s="148"/>
      <c r="BY38" s="148"/>
      <c r="BZ38" s="148"/>
      <c r="CA38" s="159"/>
      <c r="CB38" s="159"/>
      <c r="CC38" s="159"/>
      <c r="CD38" s="159"/>
      <c r="CE38" s="159"/>
      <c r="CF38" s="159"/>
      <c r="CG38" s="159"/>
      <c r="CH38" s="159"/>
      <c r="CI38" s="170"/>
      <c r="CJ38" s="170"/>
      <c r="CK38" s="170"/>
      <c r="CL38" s="170"/>
      <c r="CM38" s="170"/>
      <c r="CN38" s="170"/>
      <c r="CO38" s="170"/>
      <c r="CP38" s="170"/>
      <c r="CQ38" s="170"/>
      <c r="CR38" s="170"/>
      <c r="CS38" s="189"/>
      <c r="CT38" s="189"/>
      <c r="CU38" s="189"/>
      <c r="CV38" s="195"/>
      <c r="CW38" s="148"/>
      <c r="CX38" s="148"/>
      <c r="CY38" s="148"/>
      <c r="CZ38" s="148"/>
      <c r="DA38" s="159"/>
      <c r="DB38" s="159"/>
      <c r="DC38" s="159"/>
      <c r="DD38" s="159"/>
    </row>
    <row r="39" spans="1:108">
      <c r="A39" s="137">
        <v>33</v>
      </c>
      <c r="B39" s="138">
        <f>'RELACION ESTUDIANTES - 2022'!B38</f>
        <v>0</v>
      </c>
      <c r="C39" s="148"/>
      <c r="D39" s="148">
        <v>1</v>
      </c>
      <c r="E39" s="148">
        <v>2</v>
      </c>
      <c r="F39" s="148">
        <v>1</v>
      </c>
      <c r="G39" s="148"/>
      <c r="H39" s="148"/>
      <c r="I39" s="148"/>
      <c r="J39" s="159"/>
      <c r="K39" s="159"/>
      <c r="L39" s="159"/>
      <c r="M39" s="159" t="s">
        <v>238</v>
      </c>
      <c r="N39" s="159" t="s">
        <v>239</v>
      </c>
      <c r="O39" s="159"/>
      <c r="P39" s="159" t="s">
        <v>240</v>
      </c>
      <c r="Q39" s="159"/>
      <c r="R39" s="159"/>
      <c r="S39" s="170"/>
      <c r="T39" s="170"/>
      <c r="U39" s="170"/>
      <c r="V39" s="170"/>
      <c r="W39" s="170"/>
      <c r="X39" s="170"/>
      <c r="Y39" s="170"/>
      <c r="Z39" s="170"/>
      <c r="AA39" s="170"/>
      <c r="AB39" s="170"/>
      <c r="AC39" s="170"/>
      <c r="AD39" s="195"/>
      <c r="AE39" s="195"/>
      <c r="AF39" s="195"/>
      <c r="AG39" s="195"/>
      <c r="AH39" s="195"/>
      <c r="AI39" s="148"/>
      <c r="AJ39" s="148" t="s">
        <v>241</v>
      </c>
      <c r="AK39" s="148" t="s">
        <v>242</v>
      </c>
      <c r="AL39" s="148" t="s">
        <v>243</v>
      </c>
      <c r="AM39" s="170"/>
      <c r="AN39" s="170"/>
      <c r="AO39" s="170"/>
      <c r="AP39" s="148"/>
      <c r="AQ39" s="148" t="s">
        <v>237</v>
      </c>
      <c r="AR39" s="148"/>
      <c r="AS39" s="148"/>
      <c r="AT39" s="211"/>
      <c r="AU39" s="212"/>
      <c r="AV39" s="159"/>
      <c r="AW39" s="159" t="s">
        <v>111</v>
      </c>
      <c r="AX39" s="159" t="s">
        <v>112</v>
      </c>
      <c r="AY39" s="159" t="s">
        <v>111</v>
      </c>
      <c r="AZ39" s="159"/>
      <c r="BA39" s="159" t="s">
        <v>111</v>
      </c>
      <c r="BB39" s="159"/>
      <c r="BC39" s="159"/>
      <c r="BD39" s="170"/>
      <c r="BE39" s="170"/>
      <c r="BF39" s="170"/>
      <c r="BG39" s="170" t="s">
        <v>113</v>
      </c>
      <c r="BH39" s="170"/>
      <c r="BI39" s="170"/>
      <c r="BJ39" s="170"/>
      <c r="BK39" s="170"/>
      <c r="BL39" s="195"/>
      <c r="BM39" s="195"/>
      <c r="BN39" s="195"/>
      <c r="BO39" s="195"/>
      <c r="BP39" s="195"/>
      <c r="BQ39" s="195"/>
      <c r="BR39" s="195"/>
      <c r="BS39" s="195"/>
      <c r="BT39" s="195"/>
      <c r="BU39" s="229"/>
      <c r="BV39" s="148"/>
      <c r="BW39" s="148"/>
      <c r="BX39" s="148"/>
      <c r="BY39" s="148"/>
      <c r="BZ39" s="148"/>
      <c r="CA39" s="159"/>
      <c r="CB39" s="159"/>
      <c r="CC39" s="159"/>
      <c r="CD39" s="159"/>
      <c r="CE39" s="159"/>
      <c r="CF39" s="159"/>
      <c r="CG39" s="159"/>
      <c r="CH39" s="159"/>
      <c r="CI39" s="170"/>
      <c r="CJ39" s="170"/>
      <c r="CK39" s="170"/>
      <c r="CL39" s="170"/>
      <c r="CM39" s="170"/>
      <c r="CN39" s="170"/>
      <c r="CO39" s="170"/>
      <c r="CP39" s="170"/>
      <c r="CQ39" s="170"/>
      <c r="CR39" s="170"/>
      <c r="CS39" s="195"/>
      <c r="CT39" s="195"/>
      <c r="CU39" s="195"/>
      <c r="CV39" s="195"/>
      <c r="CW39" s="148"/>
      <c r="CX39" s="148"/>
      <c r="CY39" s="148"/>
      <c r="CZ39" s="148"/>
      <c r="DA39" s="159"/>
      <c r="DB39" s="159"/>
      <c r="DC39" s="159"/>
      <c r="DD39" s="159"/>
    </row>
    <row r="40" spans="1:108">
      <c r="A40" s="137">
        <v>34</v>
      </c>
      <c r="B40" s="138">
        <f>'RELACION ESTUDIANTES - 2022'!B39</f>
        <v>0</v>
      </c>
      <c r="C40" s="148"/>
      <c r="D40" s="148"/>
      <c r="E40" s="148"/>
      <c r="F40" s="148">
        <v>2</v>
      </c>
      <c r="G40" s="148"/>
      <c r="H40" s="148"/>
      <c r="I40" s="148"/>
      <c r="J40" s="159"/>
      <c r="K40" s="159"/>
      <c r="L40" s="159"/>
      <c r="M40" s="159"/>
      <c r="N40" s="159" t="s">
        <v>244</v>
      </c>
      <c r="O40" s="159"/>
      <c r="P40" s="159"/>
      <c r="Q40" s="159"/>
      <c r="R40" s="159"/>
      <c r="S40" s="170"/>
      <c r="T40" s="170"/>
      <c r="U40" s="170"/>
      <c r="V40" s="170"/>
      <c r="W40" s="170"/>
      <c r="X40" s="170"/>
      <c r="Y40" s="170"/>
      <c r="Z40" s="170"/>
      <c r="AA40" s="170"/>
      <c r="AB40" s="170"/>
      <c r="AC40" s="170"/>
      <c r="AD40" s="189"/>
      <c r="AE40" s="189"/>
      <c r="AF40" s="189"/>
      <c r="AG40" s="189"/>
      <c r="AH40" s="195"/>
      <c r="AI40" s="148"/>
      <c r="AJ40" s="148"/>
      <c r="AK40" s="148" t="s">
        <v>243</v>
      </c>
      <c r="AL40" s="148"/>
      <c r="AM40" s="170"/>
      <c r="AN40" s="170"/>
      <c r="AO40" s="170"/>
      <c r="AP40" s="148"/>
      <c r="AQ40" s="148" t="s">
        <v>272</v>
      </c>
      <c r="AR40" s="148"/>
      <c r="AS40" s="148"/>
      <c r="AT40" s="211"/>
      <c r="AU40" s="212"/>
      <c r="AV40" s="159"/>
      <c r="AW40" s="159"/>
      <c r="AX40" s="159" t="s">
        <v>111</v>
      </c>
      <c r="AY40" s="159" t="s">
        <v>114</v>
      </c>
      <c r="AZ40" s="159"/>
      <c r="BA40" s="159"/>
      <c r="BB40" s="159"/>
      <c r="BC40" s="159"/>
      <c r="BD40" s="170"/>
      <c r="BE40" s="170"/>
      <c r="BF40" s="170"/>
      <c r="BG40" s="170" t="s">
        <v>115</v>
      </c>
      <c r="BH40" s="170"/>
      <c r="BI40" s="170"/>
      <c r="BJ40" s="170"/>
      <c r="BK40" s="170"/>
      <c r="BL40" s="189"/>
      <c r="BM40" s="189"/>
      <c r="BN40" s="189"/>
      <c r="BO40" s="189"/>
      <c r="BP40" s="189"/>
      <c r="BQ40" s="189"/>
      <c r="BR40" s="189"/>
      <c r="BS40" s="189"/>
      <c r="BT40" s="195"/>
      <c r="BU40" s="229"/>
      <c r="BV40" s="148"/>
      <c r="BW40" s="148"/>
      <c r="BX40" s="148"/>
      <c r="BY40" s="148"/>
      <c r="BZ40" s="211"/>
      <c r="CA40" s="159"/>
      <c r="CB40" s="159"/>
      <c r="CC40" s="159"/>
      <c r="CD40" s="159"/>
      <c r="CE40" s="159"/>
      <c r="CF40" s="159"/>
      <c r="CG40" s="159"/>
      <c r="CH40" s="159"/>
      <c r="CI40" s="170"/>
      <c r="CJ40" s="170"/>
      <c r="CK40" s="170"/>
      <c r="CL40" s="170"/>
      <c r="CM40" s="170"/>
      <c r="CN40" s="170"/>
      <c r="CO40" s="170"/>
      <c r="CP40" s="170"/>
      <c r="CQ40" s="170"/>
      <c r="CR40" s="170"/>
      <c r="CS40" s="189"/>
      <c r="CT40" s="189"/>
      <c r="CU40" s="189"/>
      <c r="CV40" s="195"/>
      <c r="CW40" s="148"/>
      <c r="CX40" s="148"/>
      <c r="CY40" s="148"/>
      <c r="CZ40" s="211"/>
      <c r="DA40" s="159"/>
      <c r="DB40" s="159"/>
      <c r="DC40" s="159"/>
      <c r="DD40" s="159"/>
    </row>
    <row r="41" spans="1:108">
      <c r="A41" s="137">
        <v>35</v>
      </c>
      <c r="B41" s="138"/>
      <c r="C41" s="148"/>
      <c r="D41" s="148"/>
      <c r="E41" s="148"/>
      <c r="F41" s="148">
        <v>3</v>
      </c>
      <c r="G41" s="148"/>
      <c r="H41" s="148"/>
      <c r="I41" s="148"/>
      <c r="J41" s="159"/>
      <c r="K41" s="159"/>
      <c r="L41" s="159"/>
      <c r="M41" s="159"/>
      <c r="N41" s="159"/>
      <c r="O41" s="159"/>
      <c r="P41" s="159"/>
      <c r="Q41" s="159"/>
      <c r="R41" s="159"/>
      <c r="S41" s="170"/>
      <c r="T41" s="170"/>
      <c r="U41" s="170"/>
      <c r="V41" s="170"/>
      <c r="W41" s="170"/>
      <c r="X41" s="170"/>
      <c r="Y41" s="170"/>
      <c r="Z41" s="170"/>
      <c r="AA41" s="170"/>
      <c r="AB41" s="170"/>
      <c r="AC41" s="170"/>
      <c r="AD41" s="189"/>
      <c r="AE41" s="189"/>
      <c r="AF41" s="189"/>
      <c r="AG41" s="189"/>
      <c r="AH41" s="195"/>
      <c r="AI41" s="148"/>
      <c r="AJ41" s="148"/>
      <c r="AK41" s="148"/>
      <c r="AL41" s="148"/>
      <c r="AM41" s="170"/>
      <c r="AN41" s="170"/>
      <c r="AO41" s="170"/>
      <c r="AP41" s="148"/>
      <c r="AQ41" s="148"/>
      <c r="AR41" s="148"/>
      <c r="AS41" s="148"/>
      <c r="AT41" s="211"/>
      <c r="AU41" s="212"/>
      <c r="AV41" s="159"/>
      <c r="AW41" s="159"/>
      <c r="AX41" s="159"/>
      <c r="AY41" s="159"/>
      <c r="AZ41" s="159"/>
      <c r="BA41" s="159"/>
      <c r="BB41" s="159"/>
      <c r="BC41" s="159"/>
      <c r="BD41" s="170"/>
      <c r="BE41" s="170"/>
      <c r="BF41" s="170"/>
      <c r="BG41" s="170"/>
      <c r="BH41" s="170"/>
      <c r="BI41" s="170"/>
      <c r="BJ41" s="170"/>
      <c r="BK41" s="170"/>
      <c r="BL41" s="189"/>
      <c r="BM41" s="189"/>
      <c r="BN41" s="189"/>
      <c r="BO41" s="189"/>
      <c r="BP41" s="189"/>
      <c r="BQ41" s="189"/>
      <c r="BR41" s="189"/>
      <c r="BS41" s="189"/>
      <c r="BT41" s="195"/>
      <c r="BU41" s="229"/>
      <c r="BV41" s="148"/>
      <c r="BW41" s="148"/>
      <c r="BX41" s="148"/>
      <c r="BY41" s="148"/>
      <c r="BZ41" s="211"/>
      <c r="CA41" s="159"/>
      <c r="CB41" s="159"/>
      <c r="CC41" s="159"/>
      <c r="CD41" s="159"/>
      <c r="CE41" s="159"/>
      <c r="CF41" s="159"/>
      <c r="CG41" s="159"/>
      <c r="CH41" s="159"/>
      <c r="CI41" s="170"/>
      <c r="CJ41" s="170"/>
      <c r="CK41" s="170"/>
      <c r="CL41" s="170"/>
      <c r="CM41" s="170"/>
      <c r="CN41" s="170"/>
      <c r="CO41" s="170"/>
      <c r="CP41" s="170"/>
      <c r="CQ41" s="170"/>
      <c r="CR41" s="170"/>
      <c r="CS41" s="189"/>
      <c r="CT41" s="189"/>
      <c r="CU41" s="189"/>
      <c r="CV41" s="195"/>
      <c r="CW41" s="148"/>
      <c r="CX41" s="148"/>
      <c r="CY41" s="148"/>
      <c r="CZ41" s="211"/>
      <c r="DA41" s="159"/>
      <c r="DB41" s="159"/>
      <c r="DC41" s="159"/>
      <c r="DD41" s="159"/>
    </row>
    <row r="42" spans="1:108">
      <c r="A42" s="137">
        <v>36</v>
      </c>
      <c r="B42" s="138"/>
      <c r="C42" s="148"/>
      <c r="D42" s="148"/>
      <c r="E42" s="148"/>
      <c r="F42" s="148"/>
      <c r="G42" s="148"/>
      <c r="H42" s="148"/>
      <c r="I42" s="148"/>
      <c r="J42" s="159"/>
      <c r="K42" s="159"/>
      <c r="L42" s="159"/>
      <c r="M42" s="159"/>
      <c r="N42" s="159"/>
      <c r="O42" s="159"/>
      <c r="P42" s="159"/>
      <c r="Q42" s="159"/>
      <c r="R42" s="159"/>
      <c r="S42" s="170"/>
      <c r="T42" s="170"/>
      <c r="U42" s="170"/>
      <c r="V42" s="170"/>
      <c r="W42" s="170"/>
      <c r="X42" s="170"/>
      <c r="Y42" s="170"/>
      <c r="Z42" s="170"/>
      <c r="AA42" s="170"/>
      <c r="AB42" s="170"/>
      <c r="AC42" s="170"/>
      <c r="AD42" s="189"/>
      <c r="AE42" s="189"/>
      <c r="AF42" s="189"/>
      <c r="AG42" s="189"/>
      <c r="AH42" s="195"/>
      <c r="AI42" s="148"/>
      <c r="AJ42" s="148"/>
      <c r="AK42" s="148"/>
      <c r="AL42" s="148"/>
      <c r="AM42" s="170"/>
      <c r="AN42" s="170"/>
      <c r="AO42" s="170"/>
      <c r="AP42" s="148"/>
      <c r="AQ42" s="148"/>
      <c r="AR42" s="148"/>
      <c r="AS42" s="148"/>
      <c r="AT42" s="211"/>
      <c r="AU42" s="212"/>
      <c r="AV42" s="159"/>
      <c r="AW42" s="159"/>
      <c r="AX42" s="159"/>
      <c r="AY42" s="159"/>
      <c r="AZ42" s="159"/>
      <c r="BA42" s="159"/>
      <c r="BB42" s="159"/>
      <c r="BC42" s="159"/>
      <c r="BD42" s="170"/>
      <c r="BE42" s="170"/>
      <c r="BF42" s="170"/>
      <c r="BG42" s="170"/>
      <c r="BH42" s="170"/>
      <c r="BI42" s="170"/>
      <c r="BJ42" s="170"/>
      <c r="BK42" s="170"/>
      <c r="BL42" s="189"/>
      <c r="BM42" s="189"/>
      <c r="BN42" s="189"/>
      <c r="BO42" s="189"/>
      <c r="BP42" s="189"/>
      <c r="BQ42" s="189"/>
      <c r="BR42" s="189"/>
      <c r="BS42" s="189"/>
      <c r="BT42" s="195"/>
      <c r="BU42" s="229"/>
      <c r="BV42" s="148"/>
      <c r="BW42" s="148"/>
      <c r="BX42" s="148"/>
      <c r="BY42" s="148"/>
      <c r="BZ42" s="211"/>
      <c r="CA42" s="159"/>
      <c r="CB42" s="159"/>
      <c r="CC42" s="159"/>
      <c r="CD42" s="159"/>
      <c r="CE42" s="159"/>
      <c r="CF42" s="159"/>
      <c r="CG42" s="159"/>
      <c r="CH42" s="159"/>
      <c r="CI42" s="170"/>
      <c r="CJ42" s="170"/>
      <c r="CK42" s="170"/>
      <c r="CL42" s="170"/>
      <c r="CM42" s="170"/>
      <c r="CN42" s="170"/>
      <c r="CO42" s="170"/>
      <c r="CP42" s="170"/>
      <c r="CQ42" s="170"/>
      <c r="CR42" s="170"/>
      <c r="CS42" s="189"/>
      <c r="CT42" s="189"/>
      <c r="CU42" s="189"/>
      <c r="CV42" s="195"/>
      <c r="CW42" s="148"/>
      <c r="CX42" s="148"/>
      <c r="CY42" s="148"/>
      <c r="CZ42" s="211"/>
      <c r="DA42" s="159"/>
      <c r="DB42" s="159"/>
      <c r="DC42" s="159"/>
      <c r="DD42" s="159"/>
    </row>
    <row r="43" spans="1:108">
      <c r="A43" s="137">
        <v>37</v>
      </c>
      <c r="B43" s="138"/>
      <c r="C43" s="148"/>
      <c r="D43" s="148"/>
      <c r="E43" s="148"/>
      <c r="F43" s="148"/>
      <c r="G43" s="148"/>
      <c r="H43" s="148"/>
      <c r="I43" s="148"/>
      <c r="J43" s="159"/>
      <c r="K43" s="159"/>
      <c r="L43" s="159"/>
      <c r="M43" s="159"/>
      <c r="N43" s="159"/>
      <c r="O43" s="159"/>
      <c r="P43" s="159"/>
      <c r="Q43" s="159"/>
      <c r="R43" s="159"/>
      <c r="S43" s="170"/>
      <c r="T43" s="170"/>
      <c r="U43" s="170"/>
      <c r="V43" s="170"/>
      <c r="W43" s="170"/>
      <c r="X43" s="170"/>
      <c r="Y43" s="170"/>
      <c r="Z43" s="170"/>
      <c r="AA43" s="170"/>
      <c r="AB43" s="170"/>
      <c r="AC43" s="170"/>
      <c r="AD43" s="189"/>
      <c r="AE43" s="189"/>
      <c r="AF43" s="189"/>
      <c r="AG43" s="189"/>
      <c r="AH43" s="195"/>
      <c r="AI43" s="148"/>
      <c r="AJ43" s="148"/>
      <c r="AK43" s="148"/>
      <c r="AL43" s="148"/>
      <c r="AM43" s="170"/>
      <c r="AN43" s="170"/>
      <c r="AO43" s="170"/>
      <c r="AP43" s="148"/>
      <c r="AQ43" s="148"/>
      <c r="AR43" s="148"/>
      <c r="AS43" s="148"/>
      <c r="AT43" s="211"/>
      <c r="AU43" s="212"/>
      <c r="AV43" s="159"/>
      <c r="AW43" s="159"/>
      <c r="AX43" s="159"/>
      <c r="AY43" s="159"/>
      <c r="AZ43" s="159"/>
      <c r="BA43" s="159"/>
      <c r="BB43" s="159"/>
      <c r="BC43" s="159"/>
      <c r="BD43" s="170"/>
      <c r="BE43" s="170"/>
      <c r="BF43" s="170"/>
      <c r="BG43" s="170"/>
      <c r="BH43" s="170"/>
      <c r="BI43" s="170"/>
      <c r="BJ43" s="170"/>
      <c r="BK43" s="170"/>
      <c r="BL43" s="189"/>
      <c r="BM43" s="189"/>
      <c r="BN43" s="189"/>
      <c r="BO43" s="189"/>
      <c r="BP43" s="189"/>
      <c r="BQ43" s="189"/>
      <c r="BR43" s="189"/>
      <c r="BS43" s="189"/>
      <c r="BT43" s="195"/>
      <c r="BU43" s="229"/>
      <c r="BV43" s="148"/>
      <c r="BW43" s="148"/>
      <c r="BX43" s="148"/>
      <c r="BY43" s="148"/>
      <c r="BZ43" s="211"/>
      <c r="CA43" s="159"/>
      <c r="CB43" s="159"/>
      <c r="CC43" s="159"/>
      <c r="CD43" s="159"/>
      <c r="CE43" s="159"/>
      <c r="CF43" s="159"/>
      <c r="CG43" s="159"/>
      <c r="CH43" s="159"/>
      <c r="CI43" s="170"/>
      <c r="CJ43" s="170"/>
      <c r="CK43" s="170"/>
      <c r="CL43" s="170"/>
      <c r="CM43" s="170"/>
      <c r="CN43" s="170"/>
      <c r="CO43" s="170"/>
      <c r="CP43" s="170"/>
      <c r="CQ43" s="170"/>
      <c r="CR43" s="170"/>
      <c r="CS43" s="189"/>
      <c r="CT43" s="189"/>
      <c r="CU43" s="189"/>
      <c r="CV43" s="195"/>
      <c r="CW43" s="148"/>
      <c r="CX43" s="148"/>
      <c r="CY43" s="148"/>
      <c r="CZ43" s="211"/>
      <c r="DA43" s="159"/>
      <c r="DB43" s="159"/>
      <c r="DC43" s="159"/>
      <c r="DD43" s="159"/>
    </row>
    <row r="44" spans="1:108">
      <c r="A44" s="137"/>
      <c r="B44" s="149"/>
      <c r="C44" s="148"/>
      <c r="D44" s="148"/>
      <c r="E44" s="148"/>
      <c r="F44" s="148"/>
      <c r="G44" s="148"/>
      <c r="H44" s="148"/>
      <c r="I44" s="148"/>
      <c r="J44" s="159"/>
      <c r="K44" s="159"/>
      <c r="L44" s="159"/>
      <c r="M44" s="159"/>
      <c r="N44" s="159"/>
      <c r="O44" s="159"/>
      <c r="P44" s="159"/>
      <c r="Q44" s="159"/>
      <c r="R44" s="159"/>
      <c r="S44" s="170"/>
      <c r="T44" s="170"/>
      <c r="U44" s="170"/>
      <c r="V44" s="170"/>
      <c r="W44" s="170"/>
      <c r="X44" s="170"/>
      <c r="Y44" s="170"/>
      <c r="Z44" s="170"/>
      <c r="AA44" s="170"/>
      <c r="AB44" s="170"/>
      <c r="AC44" s="170"/>
      <c r="AD44" s="189"/>
      <c r="AE44" s="189"/>
      <c r="AF44" s="189"/>
      <c r="AG44" s="189"/>
      <c r="AH44" s="195"/>
      <c r="AI44" s="148"/>
      <c r="AJ44" s="148"/>
      <c r="AK44" s="148"/>
      <c r="AL44" s="148"/>
      <c r="AM44" s="170"/>
      <c r="AN44" s="170"/>
      <c r="AO44" s="170"/>
      <c r="AP44" s="148"/>
      <c r="AQ44" s="148"/>
      <c r="AR44" s="148"/>
      <c r="AS44" s="148"/>
      <c r="AT44" s="211"/>
      <c r="AU44" s="212"/>
      <c r="AV44" s="159"/>
      <c r="AW44" s="159"/>
      <c r="AX44" s="159"/>
      <c r="AY44" s="159"/>
      <c r="AZ44" s="159"/>
      <c r="BA44" s="159"/>
      <c r="BB44" s="159"/>
      <c r="BC44" s="159"/>
      <c r="BD44" s="170"/>
      <c r="BE44" s="170"/>
      <c r="BF44" s="170"/>
      <c r="BG44" s="170"/>
      <c r="BH44" s="170"/>
      <c r="BI44" s="170"/>
      <c r="BJ44" s="170"/>
      <c r="BK44" s="170"/>
      <c r="BL44" s="189"/>
      <c r="BM44" s="189"/>
      <c r="BN44" s="189"/>
      <c r="BO44" s="189"/>
      <c r="BP44" s="189"/>
      <c r="BQ44" s="189"/>
      <c r="BR44" s="189"/>
      <c r="BS44" s="189"/>
      <c r="BT44" s="195"/>
      <c r="BU44" s="229"/>
      <c r="BV44" s="148"/>
      <c r="BW44" s="148"/>
      <c r="BX44" s="148"/>
      <c r="BY44" s="148"/>
      <c r="BZ44" s="211"/>
      <c r="CA44" s="159"/>
      <c r="CB44" s="159"/>
      <c r="CC44" s="159"/>
      <c r="CD44" s="159"/>
      <c r="CE44" s="159"/>
      <c r="CF44" s="159"/>
      <c r="CG44" s="159"/>
      <c r="CH44" s="159"/>
      <c r="CI44" s="170"/>
      <c r="CJ44" s="170"/>
      <c r="CK44" s="170"/>
      <c r="CL44" s="170"/>
      <c r="CM44" s="170"/>
      <c r="CN44" s="170"/>
      <c r="CO44" s="170"/>
      <c r="CP44" s="170"/>
      <c r="CQ44" s="170"/>
      <c r="CR44" s="170"/>
      <c r="CS44" s="189"/>
      <c r="CT44" s="189"/>
      <c r="CU44" s="189"/>
      <c r="CV44" s="195"/>
      <c r="CW44" s="148"/>
      <c r="CX44" s="148"/>
      <c r="CY44" s="148"/>
      <c r="CZ44" s="211"/>
      <c r="DA44" s="159"/>
      <c r="DB44" s="159"/>
      <c r="DC44" s="159"/>
      <c r="DD44" s="159"/>
    </row>
    <row r="45" ht="15" spans="1:108">
      <c r="A45" s="137"/>
      <c r="B45" s="150"/>
      <c r="C45" s="151">
        <f>COUNTIF(C6:C40,"OK")</f>
        <v>0</v>
      </c>
      <c r="D45" s="151">
        <f>COUNTIF(D6:D40,"OK")</f>
        <v>0</v>
      </c>
      <c r="E45" s="151"/>
      <c r="F45" s="151"/>
      <c r="G45" s="151"/>
      <c r="H45" s="151"/>
      <c r="I45" s="151"/>
      <c r="J45" s="151">
        <f>COUNTIF(J6:J40,"OK")</f>
        <v>0</v>
      </c>
      <c r="K45" s="151"/>
      <c r="L45" s="151"/>
      <c r="M45" s="151"/>
      <c r="N45" s="151"/>
      <c r="O45" s="151"/>
      <c r="P45" s="151">
        <f>COUNTIF(P6:P40,"OK")</f>
        <v>0</v>
      </c>
      <c r="Q45" s="151">
        <f>COUNTIF(Q6:Q40,"OK")</f>
        <v>0</v>
      </c>
      <c r="R45" s="151"/>
      <c r="S45" s="151">
        <f>COUNTIF(S6:S40,"OK")</f>
        <v>0</v>
      </c>
      <c r="T45" s="151"/>
      <c r="U45" s="151">
        <f>COUNTIF(U6:U40,"OK")</f>
        <v>0</v>
      </c>
      <c r="V45" s="151"/>
      <c r="W45" s="151"/>
      <c r="X45" s="151"/>
      <c r="Y45" s="151"/>
      <c r="Z45" s="151"/>
      <c r="AA45" s="151"/>
      <c r="AB45" s="151"/>
      <c r="AC45" s="151">
        <f t="shared" ref="AC45:BH45" si="27">COUNTIF(AC6:AC40,"OK")</f>
        <v>0</v>
      </c>
      <c r="AD45" s="151">
        <f t="shared" si="27"/>
        <v>0</v>
      </c>
      <c r="AE45" s="151">
        <f t="shared" si="27"/>
        <v>0</v>
      </c>
      <c r="AF45" s="151"/>
      <c r="AG45" s="151"/>
      <c r="AH45" s="205">
        <f t="shared" si="27"/>
        <v>0</v>
      </c>
      <c r="AI45" s="151">
        <f t="shared" si="27"/>
        <v>0</v>
      </c>
      <c r="AJ45" s="151">
        <f t="shared" si="27"/>
        <v>0</v>
      </c>
      <c r="AK45" s="151"/>
      <c r="AL45" s="151"/>
      <c r="AM45" s="151"/>
      <c r="AN45" s="151"/>
      <c r="AO45" s="151"/>
      <c r="AP45" s="151"/>
      <c r="AQ45" s="151"/>
      <c r="AR45" s="151"/>
      <c r="AS45" s="151"/>
      <c r="AT45" s="151">
        <f t="shared" si="27"/>
        <v>0</v>
      </c>
      <c r="AU45" s="151"/>
      <c r="AV45" s="151">
        <f t="shared" si="27"/>
        <v>0</v>
      </c>
      <c r="AW45" s="151">
        <f t="shared" si="27"/>
        <v>0</v>
      </c>
      <c r="AX45" s="151"/>
      <c r="AY45" s="151"/>
      <c r="AZ45" s="151"/>
      <c r="BA45" s="151"/>
      <c r="BB45" s="151">
        <f t="shared" si="27"/>
        <v>0</v>
      </c>
      <c r="BC45" s="151"/>
      <c r="BD45" s="151">
        <f t="shared" si="27"/>
        <v>0</v>
      </c>
      <c r="BE45" s="151">
        <f t="shared" si="27"/>
        <v>0</v>
      </c>
      <c r="BF45" s="151"/>
      <c r="BG45" s="151"/>
      <c r="BH45" s="151">
        <f t="shared" si="27"/>
        <v>0</v>
      </c>
      <c r="BI45" s="151"/>
      <c r="BJ45" s="151"/>
      <c r="BK45" s="151"/>
      <c r="BL45" s="151">
        <f>COUNTIF(BL6:BL40,"OK")</f>
        <v>0</v>
      </c>
      <c r="BM45" s="151">
        <f>COUNTIF(BM6:BM40,"OK")</f>
        <v>0</v>
      </c>
      <c r="BN45" s="151"/>
      <c r="BO45" s="151"/>
      <c r="BP45" s="151"/>
      <c r="BQ45" s="151"/>
      <c r="BR45" s="151"/>
      <c r="BS45" s="151"/>
      <c r="BT45" s="205">
        <f>COUNTIF(BT6:BT40,"OK")</f>
        <v>0</v>
      </c>
      <c r="BU45" s="205"/>
      <c r="BV45" s="151">
        <f>COUNTIF(BV6:BV40,"OK")</f>
        <v>0</v>
      </c>
      <c r="BW45" s="151">
        <f>COUNTIF(BW6:BW40,"OK")</f>
        <v>0</v>
      </c>
      <c r="BX45" s="151"/>
      <c r="BY45" s="151"/>
      <c r="BZ45" s="151">
        <f>COUNTIF(BZ6:BZ40,"OK")</f>
        <v>0</v>
      </c>
      <c r="CA45" s="151">
        <f>COUNTIF(CA6:CA40,"OK")</f>
        <v>0</v>
      </c>
      <c r="CB45" s="151">
        <f>COUNTIF(CB6:CB40,"OK")</f>
        <v>0</v>
      </c>
      <c r="CC45" s="151"/>
      <c r="CD45" s="151"/>
      <c r="CE45" s="151"/>
      <c r="CF45" s="151"/>
      <c r="CG45" s="151"/>
      <c r="CH45" s="151">
        <f>COUNTIF(CH6:CH40,"OK")</f>
        <v>0</v>
      </c>
      <c r="CI45" s="151">
        <f>COUNTIF(CI6:CI40,"OK")</f>
        <v>0</v>
      </c>
      <c r="CJ45" s="151"/>
      <c r="CK45" s="151"/>
      <c r="CL45" s="151">
        <f>COUNTIF(CL6:CL40,"OK")</f>
        <v>0</v>
      </c>
      <c r="CM45" s="151"/>
      <c r="CN45" s="151"/>
      <c r="CO45" s="151"/>
      <c r="CP45" s="151"/>
      <c r="CQ45" s="151"/>
      <c r="CR45" s="151">
        <f>COUNTIF(CR6:CR40,"OK")</f>
        <v>0</v>
      </c>
      <c r="CS45" s="151">
        <f t="shared" ref="CS45:CX45" si="28">COUNTIF(CS6:CS40,"OK")</f>
        <v>0</v>
      </c>
      <c r="CT45" s="151">
        <f t="shared" si="28"/>
        <v>0</v>
      </c>
      <c r="CU45" s="151"/>
      <c r="CV45" s="205">
        <f t="shared" si="28"/>
        <v>0</v>
      </c>
      <c r="CW45" s="151">
        <f t="shared" si="28"/>
        <v>0</v>
      </c>
      <c r="CX45" s="151">
        <f t="shared" si="28"/>
        <v>0</v>
      </c>
      <c r="CY45" s="151"/>
      <c r="CZ45" s="151">
        <f t="shared" ref="CZ45:DB45" si="29">COUNTIF(CZ6:CZ40,"OK")</f>
        <v>0</v>
      </c>
      <c r="DA45" s="151">
        <f t="shared" si="29"/>
        <v>0</v>
      </c>
      <c r="DB45" s="151">
        <f t="shared" si="29"/>
        <v>0</v>
      </c>
      <c r="DC45" s="151"/>
      <c r="DD45" s="151">
        <f t="shared" ref="DD45" si="30">COUNTIF(DD6:DD40,"OK")</f>
        <v>0</v>
      </c>
    </row>
    <row r="46" ht="15" spans="1:108">
      <c r="A46" s="137"/>
      <c r="B46" s="150" t="s">
        <v>116</v>
      </c>
      <c r="C46" s="151">
        <f>COUNTIF(C6:C40,"NO")</f>
        <v>0</v>
      </c>
      <c r="D46" s="151">
        <f>COUNTIF(D6:D40,"NO")</f>
        <v>0</v>
      </c>
      <c r="E46" s="151"/>
      <c r="F46" s="151"/>
      <c r="G46" s="151"/>
      <c r="H46" s="151"/>
      <c r="I46" s="151"/>
      <c r="J46" s="151">
        <f>COUNTIF(J6:J40,"NO")</f>
        <v>0</v>
      </c>
      <c r="K46" s="151"/>
      <c r="L46" s="151"/>
      <c r="M46" s="151"/>
      <c r="N46" s="151"/>
      <c r="O46" s="151"/>
      <c r="P46" s="151">
        <f>COUNTIF(P6:P40,"NO")</f>
        <v>0</v>
      </c>
      <c r="Q46" s="151">
        <f>COUNTIF(Q6:Q40,"NO")</f>
        <v>0</v>
      </c>
      <c r="R46" s="151"/>
      <c r="S46" s="151">
        <f>COUNTIF(S6:S40,"NO")</f>
        <v>0</v>
      </c>
      <c r="T46" s="151"/>
      <c r="U46" s="151">
        <f>COUNTIF(U6:U40,"NO")</f>
        <v>0</v>
      </c>
      <c r="V46" s="151"/>
      <c r="W46" s="151"/>
      <c r="X46" s="151"/>
      <c r="Y46" s="151"/>
      <c r="Z46" s="151"/>
      <c r="AA46" s="151"/>
      <c r="AB46" s="151"/>
      <c r="AC46" s="151">
        <f t="shared" ref="AC46:BH46" si="31">COUNTIF(AC6:AC40,"NO")</f>
        <v>0</v>
      </c>
      <c r="AD46" s="151">
        <f t="shared" si="31"/>
        <v>0</v>
      </c>
      <c r="AE46" s="151">
        <f t="shared" si="31"/>
        <v>0</v>
      </c>
      <c r="AF46" s="151"/>
      <c r="AG46" s="151"/>
      <c r="AH46" s="205">
        <f t="shared" si="31"/>
        <v>0</v>
      </c>
      <c r="AI46" s="151">
        <f t="shared" si="31"/>
        <v>0</v>
      </c>
      <c r="AJ46" s="151">
        <f t="shared" si="31"/>
        <v>0</v>
      </c>
      <c r="AK46" s="151"/>
      <c r="AL46" s="151"/>
      <c r="AM46" s="151"/>
      <c r="AN46" s="151"/>
      <c r="AO46" s="151"/>
      <c r="AP46" s="151"/>
      <c r="AQ46" s="151"/>
      <c r="AR46" s="151"/>
      <c r="AS46" s="151"/>
      <c r="AT46" s="151">
        <f t="shared" si="31"/>
        <v>0</v>
      </c>
      <c r="AU46" s="151"/>
      <c r="AV46" s="151">
        <f t="shared" si="31"/>
        <v>0</v>
      </c>
      <c r="AW46" s="151">
        <f t="shared" si="31"/>
        <v>1</v>
      </c>
      <c r="AX46" s="151"/>
      <c r="AY46" s="151"/>
      <c r="AZ46" s="151"/>
      <c r="BA46" s="151"/>
      <c r="BB46" s="151">
        <f t="shared" si="31"/>
        <v>0</v>
      </c>
      <c r="BC46" s="151"/>
      <c r="BD46" s="151">
        <f t="shared" si="31"/>
        <v>0</v>
      </c>
      <c r="BE46" s="151">
        <f t="shared" si="31"/>
        <v>0</v>
      </c>
      <c r="BF46" s="151"/>
      <c r="BG46" s="151"/>
      <c r="BH46" s="151">
        <f t="shared" si="31"/>
        <v>0</v>
      </c>
      <c r="BI46" s="151"/>
      <c r="BJ46" s="151"/>
      <c r="BK46" s="151"/>
      <c r="BL46" s="151">
        <f>COUNTIF(BL6:BL40,"NO")</f>
        <v>0</v>
      </c>
      <c r="BM46" s="151">
        <f>COUNTIF(BM6:BM40,"NO")</f>
        <v>0</v>
      </c>
      <c r="BN46" s="151"/>
      <c r="BO46" s="151"/>
      <c r="BP46" s="151"/>
      <c r="BQ46" s="151"/>
      <c r="BR46" s="151"/>
      <c r="BS46" s="151"/>
      <c r="BT46" s="205">
        <f>COUNTIF(BT6:BT40,"NO")</f>
        <v>0</v>
      </c>
      <c r="BU46" s="205"/>
      <c r="BV46" s="151">
        <f>COUNTIF(BV6:BV40,"NO")</f>
        <v>0</v>
      </c>
      <c r="BW46" s="151">
        <f>COUNTIF(BW6:BW40,"NO")</f>
        <v>0</v>
      </c>
      <c r="BX46" s="151"/>
      <c r="BY46" s="151"/>
      <c r="BZ46" s="151">
        <f>COUNTIF(BZ6:BZ40,"NO")</f>
        <v>0</v>
      </c>
      <c r="CA46" s="151">
        <f>COUNTIF(CA6:CA40,"NO")</f>
        <v>0</v>
      </c>
      <c r="CB46" s="151">
        <f>COUNTIF(CB6:CB40,"NO")</f>
        <v>0</v>
      </c>
      <c r="CC46" s="151"/>
      <c r="CD46" s="151"/>
      <c r="CE46" s="151"/>
      <c r="CF46" s="151"/>
      <c r="CG46" s="151"/>
      <c r="CH46" s="151">
        <f>COUNTIF(CH6:CH40,"NO")</f>
        <v>0</v>
      </c>
      <c r="CI46" s="151">
        <f>COUNTIF(CI6:CI40,"NO")</f>
        <v>0</v>
      </c>
      <c r="CJ46" s="151"/>
      <c r="CK46" s="151"/>
      <c r="CL46" s="151">
        <f>COUNTIF(CL6:CL40,"NO")</f>
        <v>0</v>
      </c>
      <c r="CM46" s="151"/>
      <c r="CN46" s="151"/>
      <c r="CO46" s="151"/>
      <c r="CP46" s="151"/>
      <c r="CQ46" s="151"/>
      <c r="CR46" s="151">
        <f>COUNTIF(CR6:CR40,"NO")</f>
        <v>0</v>
      </c>
      <c r="CS46" s="151">
        <f t="shared" ref="CS46:CX46" si="32">COUNTIF(CS6:CS40,"NO")</f>
        <v>0</v>
      </c>
      <c r="CT46" s="151">
        <f t="shared" si="32"/>
        <v>0</v>
      </c>
      <c r="CU46" s="151"/>
      <c r="CV46" s="205">
        <f t="shared" si="32"/>
        <v>0</v>
      </c>
      <c r="CW46" s="151">
        <f t="shared" si="32"/>
        <v>0</v>
      </c>
      <c r="CX46" s="151">
        <f t="shared" si="32"/>
        <v>0</v>
      </c>
      <c r="CY46" s="151"/>
      <c r="CZ46" s="151">
        <f t="shared" ref="CZ46:DB46" si="33">COUNTIF(CZ6:CZ40,"NO")</f>
        <v>0</v>
      </c>
      <c r="DA46" s="151">
        <f t="shared" si="33"/>
        <v>0</v>
      </c>
      <c r="DB46" s="151">
        <f t="shared" si="33"/>
        <v>0</v>
      </c>
      <c r="DC46" s="151"/>
      <c r="DD46" s="151">
        <f t="shared" ref="DD46" si="34">COUNTIF(DD6:DD40,"NO")</f>
        <v>0</v>
      </c>
    </row>
    <row r="47" ht="15" spans="1:108">
      <c r="A47" s="137"/>
      <c r="B47" s="150" t="s">
        <v>117</v>
      </c>
      <c r="C47" s="152">
        <f>SUM(C45:C46)</f>
        <v>0</v>
      </c>
      <c r="D47" s="152">
        <f>SUM(D45:D46)</f>
        <v>0</v>
      </c>
      <c r="E47" s="152"/>
      <c r="F47" s="152"/>
      <c r="G47" s="152"/>
      <c r="H47" s="152"/>
      <c r="I47" s="152"/>
      <c r="J47" s="152">
        <f>SUM(J45:J46)</f>
        <v>0</v>
      </c>
      <c r="K47" s="152"/>
      <c r="L47" s="152"/>
      <c r="M47" s="152"/>
      <c r="N47" s="152"/>
      <c r="O47" s="152"/>
      <c r="P47" s="152">
        <f>SUM(P45:P46)</f>
        <v>0</v>
      </c>
      <c r="Q47" s="152">
        <f>SUM(Q45:Q46)</f>
        <v>0</v>
      </c>
      <c r="R47" s="152"/>
      <c r="S47" s="152">
        <f>SUM(S45:S46)</f>
        <v>0</v>
      </c>
      <c r="T47" s="152"/>
      <c r="U47" s="152">
        <f>SUM(U45:U46)</f>
        <v>0</v>
      </c>
      <c r="V47" s="152"/>
      <c r="W47" s="152"/>
      <c r="X47" s="152"/>
      <c r="Y47" s="152"/>
      <c r="Z47" s="152"/>
      <c r="AA47" s="152"/>
      <c r="AB47" s="152"/>
      <c r="AC47" s="152">
        <f t="shared" ref="AC47:BH47" si="35">SUM(AC45:AC46)</f>
        <v>0</v>
      </c>
      <c r="AD47" s="152">
        <f t="shared" si="35"/>
        <v>0</v>
      </c>
      <c r="AE47" s="152">
        <f t="shared" si="35"/>
        <v>0</v>
      </c>
      <c r="AF47" s="152"/>
      <c r="AG47" s="152"/>
      <c r="AH47" s="206">
        <f t="shared" si="35"/>
        <v>0</v>
      </c>
      <c r="AI47" s="152">
        <f t="shared" si="35"/>
        <v>0</v>
      </c>
      <c r="AJ47" s="152">
        <f t="shared" si="35"/>
        <v>0</v>
      </c>
      <c r="AK47" s="152"/>
      <c r="AL47" s="152"/>
      <c r="AM47" s="152"/>
      <c r="AN47" s="152"/>
      <c r="AO47" s="152"/>
      <c r="AP47" s="152"/>
      <c r="AQ47" s="152"/>
      <c r="AR47" s="152"/>
      <c r="AS47" s="152"/>
      <c r="AT47" s="152">
        <f t="shared" si="35"/>
        <v>0</v>
      </c>
      <c r="AU47" s="152"/>
      <c r="AV47" s="152">
        <f t="shared" si="35"/>
        <v>0</v>
      </c>
      <c r="AW47" s="152">
        <f t="shared" si="35"/>
        <v>1</v>
      </c>
      <c r="AX47" s="152"/>
      <c r="AY47" s="152"/>
      <c r="AZ47" s="152"/>
      <c r="BA47" s="152"/>
      <c r="BB47" s="152">
        <f t="shared" si="35"/>
        <v>0</v>
      </c>
      <c r="BC47" s="152"/>
      <c r="BD47" s="152">
        <f t="shared" si="35"/>
        <v>0</v>
      </c>
      <c r="BE47" s="152">
        <f t="shared" si="35"/>
        <v>0</v>
      </c>
      <c r="BF47" s="152"/>
      <c r="BG47" s="152"/>
      <c r="BH47" s="152">
        <f t="shared" si="35"/>
        <v>0</v>
      </c>
      <c r="BI47" s="152"/>
      <c r="BJ47" s="152"/>
      <c r="BK47" s="152"/>
      <c r="BL47" s="152">
        <f>SUM(BL45:BL46)</f>
        <v>0</v>
      </c>
      <c r="BM47" s="152">
        <f>SUM(BM45:BM46)</f>
        <v>0</v>
      </c>
      <c r="BN47" s="152"/>
      <c r="BO47" s="152"/>
      <c r="BP47" s="152"/>
      <c r="BQ47" s="152"/>
      <c r="BR47" s="152"/>
      <c r="BS47" s="152"/>
      <c r="BT47" s="206">
        <f>SUM(BT45:BT46)</f>
        <v>0</v>
      </c>
      <c r="BU47" s="206"/>
      <c r="BV47" s="152">
        <f>SUM(BV45:BV46)</f>
        <v>0</v>
      </c>
      <c r="BW47" s="152">
        <f>SUM(BW45:BW46)</f>
        <v>0</v>
      </c>
      <c r="BX47" s="152"/>
      <c r="BY47" s="152"/>
      <c r="BZ47" s="152">
        <f>SUM(BZ45:BZ46)</f>
        <v>0</v>
      </c>
      <c r="CA47" s="152">
        <f>SUM(CA45:CA46)</f>
        <v>0</v>
      </c>
      <c r="CB47" s="152">
        <f>SUM(CB45:CB46)</f>
        <v>0</v>
      </c>
      <c r="CC47" s="152"/>
      <c r="CD47" s="152"/>
      <c r="CE47" s="152"/>
      <c r="CF47" s="152"/>
      <c r="CG47" s="152"/>
      <c r="CH47" s="152">
        <f>SUM(CH45:CH46)</f>
        <v>0</v>
      </c>
      <c r="CI47" s="152">
        <f>SUM(CI45:CI46)</f>
        <v>0</v>
      </c>
      <c r="CJ47" s="152"/>
      <c r="CK47" s="152"/>
      <c r="CL47" s="152">
        <f>SUM(CL45:CL46)</f>
        <v>0</v>
      </c>
      <c r="CM47" s="152"/>
      <c r="CN47" s="152"/>
      <c r="CO47" s="152"/>
      <c r="CP47" s="152"/>
      <c r="CQ47" s="152"/>
      <c r="CR47" s="152">
        <f>SUM(CR45:CR46)</f>
        <v>0</v>
      </c>
      <c r="CS47" s="152">
        <f t="shared" ref="CS47:CX47" si="36">SUM(CS45:CS46)</f>
        <v>0</v>
      </c>
      <c r="CT47" s="152">
        <f t="shared" si="36"/>
        <v>0</v>
      </c>
      <c r="CU47" s="152"/>
      <c r="CV47" s="206">
        <f t="shared" si="36"/>
        <v>0</v>
      </c>
      <c r="CW47" s="152">
        <f t="shared" si="36"/>
        <v>0</v>
      </c>
      <c r="CX47" s="152">
        <f t="shared" si="36"/>
        <v>0</v>
      </c>
      <c r="CY47" s="152"/>
      <c r="CZ47" s="152">
        <f t="shared" ref="CZ47:DB47" si="37">SUM(CZ45:CZ46)</f>
        <v>0</v>
      </c>
      <c r="DA47" s="152">
        <f t="shared" si="37"/>
        <v>0</v>
      </c>
      <c r="DB47" s="152">
        <f t="shared" si="37"/>
        <v>0</v>
      </c>
      <c r="DC47" s="152"/>
      <c r="DD47" s="152">
        <f t="shared" ref="DD47" si="38">SUM(DD45:DD46)</f>
        <v>0</v>
      </c>
    </row>
  </sheetData>
  <mergeCells count="18">
    <mergeCell ref="C4:R4"/>
    <mergeCell ref="S4:BK4"/>
    <mergeCell ref="BZ4:DD4"/>
    <mergeCell ref="C5:H5"/>
    <mergeCell ref="J5:Q5"/>
    <mergeCell ref="S5:AB5"/>
    <mergeCell ref="AD5:AH5"/>
    <mergeCell ref="AI5:AT5"/>
    <mergeCell ref="AV5:BB5"/>
    <mergeCell ref="BD5:BJ5"/>
    <mergeCell ref="BL5:BT5"/>
    <mergeCell ref="BV5:BZ5"/>
    <mergeCell ref="CA5:CG5"/>
    <mergeCell ref="CI5:CQ5"/>
    <mergeCell ref="CS5:CV5"/>
    <mergeCell ref="CW5:DC5"/>
    <mergeCell ref="A5:A6"/>
    <mergeCell ref="B5:B6"/>
  </mergeCells>
  <conditionalFormatting sqref="C7">
    <cfRule type="containsText" dxfId="0" priority="114" operator="between" text="NO">
      <formula>NOT(ISERROR(SEARCH("NO",C7)))</formula>
    </cfRule>
  </conditionalFormatting>
  <conditionalFormatting sqref="Y23:AA23">
    <cfRule type="containsText" dxfId="0" priority="13" operator="between" text="NO">
      <formula>NOT(ISERROR(SEARCH("NO",Y23)))</formula>
    </cfRule>
  </conditionalFormatting>
  <conditionalFormatting sqref="AO23">
    <cfRule type="containsText" dxfId="0" priority="8" operator="between" text="NO">
      <formula>NOT(ISERROR(SEARCH("NO",AO23)))</formula>
    </cfRule>
  </conditionalFormatting>
  <conditionalFormatting sqref="CS30:CZ30">
    <cfRule type="containsText" dxfId="0" priority="256" operator="between" text="NO">
      <formula>NOT(ISERROR(SEARCH("NO",CS30)))</formula>
    </cfRule>
  </conditionalFormatting>
  <conditionalFormatting sqref="J36:Q36">
    <cfRule type="containsText" dxfId="0" priority="89" operator="between" text="NO">
      <formula>NOT(ISERROR(SEARCH("NO",J36)))</formula>
    </cfRule>
  </conditionalFormatting>
  <conditionalFormatting sqref="AV36:BB36">
    <cfRule type="containsText" dxfId="0" priority="86" operator="between" text="NO">
      <formula>NOT(ISERROR(SEARCH("NO",AV36)))</formula>
    </cfRule>
  </conditionalFormatting>
  <conditionalFormatting sqref="BD36:BJ36">
    <cfRule type="containsText" dxfId="0" priority="84" operator="between" text="NO">
      <formula>NOT(ISERROR(SEARCH("NO",BD36)))</formula>
    </cfRule>
  </conditionalFormatting>
  <conditionalFormatting sqref="BL36:BT36">
    <cfRule type="containsText" dxfId="0" priority="83" operator="between" text="NO">
      <formula>NOT(ISERROR(SEARCH("NO",BL36)))</formula>
    </cfRule>
  </conditionalFormatting>
  <conditionalFormatting sqref="C37">
    <cfRule type="containsText" dxfId="0" priority="144" operator="between" text="NO">
      <formula>NOT(ISERROR(SEARCH("NO",C37)))</formula>
    </cfRule>
  </conditionalFormatting>
  <conditionalFormatting sqref="C22:C35">
    <cfRule type="containsText" dxfId="0" priority="100" operator="between" text="NO">
      <formula>NOT(ISERROR(SEARCH("NO",C22)))</formula>
    </cfRule>
  </conditionalFormatting>
  <conditionalFormatting sqref="F23:F24">
    <cfRule type="containsText" dxfId="0" priority="44" operator="between" text="NO">
      <formula>NOT(ISERROR(SEARCH("NO",F23)))</formula>
    </cfRule>
  </conditionalFormatting>
  <conditionalFormatting sqref="I20:I36">
    <cfRule type="containsText" dxfId="0" priority="71" operator="between" text="NO">
      <formula>NOT(ISERROR(SEARCH("NO",I20)))</formula>
    </cfRule>
  </conditionalFormatting>
  <conditionalFormatting sqref="X7:X8">
    <cfRule type="containsText" dxfId="0" priority="16" operator="between" text="NO">
      <formula>NOT(ISERROR(SEARCH("NO",X7)))</formula>
    </cfRule>
  </conditionalFormatting>
  <conditionalFormatting sqref="AC7:AC37">
    <cfRule type="containsText" dxfId="0" priority="72" operator="between" text="NO">
      <formula>NOT(ISERROR(SEARCH("NO",AC7)))</formula>
    </cfRule>
  </conditionalFormatting>
  <conditionalFormatting sqref="AI7:AI23">
    <cfRule type="containsText" dxfId="0" priority="19" operator="between" text="NO">
      <formula>NOT(ISERROR(SEARCH("NO",AI7)))</formula>
    </cfRule>
  </conditionalFormatting>
  <conditionalFormatting sqref="AN7:AN8">
    <cfRule type="containsText" dxfId="0" priority="11" operator="between" text="NO">
      <formula>NOT(ISERROR(SEARCH("NO",AN7)))</formula>
    </cfRule>
  </conditionalFormatting>
  <conditionalFormatting sqref="AR19:AR23">
    <cfRule type="containsText" dxfId="0" priority="29" operator="between" text="NO">
      <formula>NOT(ISERROR(SEARCH("NO",AR19)))</formula>
    </cfRule>
  </conditionalFormatting>
  <conditionalFormatting sqref="AU7:AU18">
    <cfRule type="containsText" dxfId="0" priority="127" operator="between" text="NO">
      <formula>NOT(ISERROR(SEARCH("NO",AU7)))</formula>
    </cfRule>
  </conditionalFormatting>
  <conditionalFormatting sqref="AU20:AU36">
    <cfRule type="containsText" dxfId="0" priority="70" operator="between" text="NO">
      <formula>NOT(ISERROR(SEARCH("NO",AU20)))</formula>
    </cfRule>
  </conditionalFormatting>
  <conditionalFormatting sqref="AV7:AV21">
    <cfRule type="containsText" dxfId="0" priority="5" operator="between" text="NO">
      <formula>NOT(ISERROR(SEARCH("NO",AV7)))</formula>
    </cfRule>
  </conditionalFormatting>
  <conditionalFormatting sqref="AV22:AV23">
    <cfRule type="containsText" dxfId="0" priority="21" operator="between" text="NO">
      <formula>NOT(ISERROR(SEARCH("NO",AV22)))</formula>
    </cfRule>
  </conditionalFormatting>
  <conditionalFormatting sqref="BA7:BA18">
    <cfRule type="containsText" dxfId="0" priority="1" operator="between" text="NO">
      <formula>NOT(ISERROR(SEARCH("NO",BA7)))</formula>
    </cfRule>
  </conditionalFormatting>
  <conditionalFormatting sqref="BA19:BA23">
    <cfRule type="containsText" dxfId="0" priority="32" operator="between" text="NO">
      <formula>NOT(ISERROR(SEARCH("NO",BA19)))</formula>
    </cfRule>
  </conditionalFormatting>
  <conditionalFormatting sqref="BB7:BB24">
    <cfRule type="containsText" dxfId="0" priority="106" operator="between" text="NO">
      <formula>NOT(ISERROR(SEARCH("NO",BB7)))</formula>
    </cfRule>
  </conditionalFormatting>
  <conditionalFormatting sqref="BC7:BC18">
    <cfRule type="containsText" dxfId="0" priority="126" operator="between" text="NO">
      <formula>NOT(ISERROR(SEARCH("NO",BC7)))</formula>
    </cfRule>
  </conditionalFormatting>
  <conditionalFormatting sqref="BC20:BC36">
    <cfRule type="containsText" dxfId="0" priority="69" operator="between" text="NO">
      <formula>NOT(ISERROR(SEARCH("NO",BC20)))</formula>
    </cfRule>
  </conditionalFormatting>
  <conditionalFormatting sqref="BD7:BD23">
    <cfRule type="containsText" dxfId="0" priority="23" operator="between" text="NO">
      <formula>NOT(ISERROR(SEARCH("NO",BD7)))</formula>
    </cfRule>
  </conditionalFormatting>
  <conditionalFormatting sqref="BH7:BH18">
    <cfRule type="containsText" dxfId="0" priority="2" operator="between" text="NO">
      <formula>NOT(ISERROR(SEARCH("NO",BH7)))</formula>
    </cfRule>
  </conditionalFormatting>
  <conditionalFormatting sqref="BH19:BH23">
    <cfRule type="containsText" dxfId="0" priority="38" operator="between" text="NO">
      <formula>NOT(ISERROR(SEARCH("NO",BH19)))</formula>
    </cfRule>
  </conditionalFormatting>
  <conditionalFormatting sqref="BK7:BK17">
    <cfRule type="containsText" dxfId="0" priority="125" operator="between" text="NO">
      <formula>NOT(ISERROR(SEARCH("NO",BK7)))</formula>
    </cfRule>
  </conditionalFormatting>
  <conditionalFormatting sqref="BK20:BK36">
    <cfRule type="containsText" dxfId="0" priority="68" operator="between" text="NO">
      <formula>NOT(ISERROR(SEARCH("NO",BK20)))</formula>
    </cfRule>
  </conditionalFormatting>
  <conditionalFormatting sqref="BL7:BL13">
    <cfRule type="containsText" dxfId="0" priority="133" operator="between" text="NO">
      <formula>NOT(ISERROR(SEARCH("NO",BL7)))</formula>
    </cfRule>
  </conditionalFormatting>
  <conditionalFormatting sqref="BL17:BL35">
    <cfRule type="containsText" dxfId="0" priority="54" operator="between" text="NO">
      <formula>NOT(ISERROR(SEARCH("NO",BL17)))</formula>
    </cfRule>
  </conditionalFormatting>
  <conditionalFormatting sqref="BQ7:BQ18">
    <cfRule type="containsText" dxfId="0" priority="4" operator="between" text="NO">
      <formula>NOT(ISERROR(SEARCH("NO",BQ7)))</formula>
    </cfRule>
  </conditionalFormatting>
  <conditionalFormatting sqref="BQ19:BQ23">
    <cfRule type="containsText" dxfId="0" priority="53" operator="between" text="NO">
      <formula>NOT(ISERROR(SEARCH("NO",BQ19)))</formula>
    </cfRule>
  </conditionalFormatting>
  <conditionalFormatting sqref="BU7:BU36">
    <cfRule type="containsText" dxfId="0" priority="118" operator="between" text="NO">
      <formula>NOT(ISERROR(SEARCH("NO",BU7)))</formula>
    </cfRule>
  </conditionalFormatting>
  <conditionalFormatting sqref="CA7:CA23">
    <cfRule type="containsText" dxfId="0" priority="27" operator="between" text="NO">
      <formula>NOT(ISERROR(SEARCH("NO",CA7)))</formula>
    </cfRule>
  </conditionalFormatting>
  <conditionalFormatting sqref="CA25:CA37">
    <cfRule type="containsText" dxfId="0" priority="135" operator="between" text="NO">
      <formula>NOT(ISERROR(SEARCH("NO",CA25)))</formula>
    </cfRule>
  </conditionalFormatting>
  <conditionalFormatting sqref="CE7:CE18">
    <cfRule type="containsText" dxfId="0" priority="3" operator="between" text="NO">
      <formula>NOT(ISERROR(SEARCH("NO",CE7)))</formula>
    </cfRule>
  </conditionalFormatting>
  <conditionalFormatting sqref="CE19:CE24">
    <cfRule type="containsText" dxfId="0" priority="42" operator="between" text="NO">
      <formula>NOT(ISERROR(SEARCH("NO",CE19)))</formula>
    </cfRule>
  </conditionalFormatting>
  <conditionalFormatting sqref="CH7:CH36">
    <cfRule type="containsText" dxfId="0" priority="117" operator="between" text="NO">
      <formula>NOT(ISERROR(SEARCH("NO",CH7)))</formula>
    </cfRule>
  </conditionalFormatting>
  <conditionalFormatting sqref="CR7:CR36">
    <cfRule type="containsText" dxfId="0" priority="116" operator="between" text="NO">
      <formula>NOT(ISERROR(SEARCH("NO",CR7)))</formula>
    </cfRule>
  </conditionalFormatting>
  <conditionalFormatting sqref="BR7:BS23">
    <cfRule type="containsText" dxfId="0" priority="25" operator="between" text="NO">
      <formula>NOT(ISERROR(SEARCH("NO",BR7)))</formula>
    </cfRule>
  </conditionalFormatting>
  <conditionalFormatting sqref="CI7:CK23">
    <cfRule type="containsText" dxfId="0" priority="130" operator="between" text="NO">
      <formula>NOT(ISERROR(SEARCH("NO",CI7)))</formula>
    </cfRule>
  </conditionalFormatting>
  <conditionalFormatting sqref="CN7:CO24">
    <cfRule type="containsText" dxfId="0" priority="6" operator="between" text="NO">
      <formula>NOT(ISERROR(SEARCH("NO",CN7)))</formula>
    </cfRule>
  </conditionalFormatting>
  <conditionalFormatting sqref="AP14:AQ18">
    <cfRule type="containsText" dxfId="0" priority="52" operator="between" text="NO">
      <formula>NOT(ISERROR(SEARCH("NO",AP14)))</formula>
    </cfRule>
  </conditionalFormatting>
  <conditionalFormatting sqref="P26:Q35">
    <cfRule type="containsText" dxfId="0" priority="110" operator="between" text="NO">
      <formula>NOT(ISERROR(SEARCH("NO",P26)))</formula>
    </cfRule>
  </conditionalFormatting>
  <conditionalFormatting sqref="BE26:BJ35">
    <cfRule type="containsText" dxfId="0" priority="105" operator="between" text="NO">
      <formula>NOT(ISERROR(SEARCH("NO",BE26)))</formula>
    </cfRule>
  </conditionalFormatting>
  <conditionalFormatting sqref="CS37:CV44">
    <cfRule type="containsText" dxfId="0" priority="262" operator="between" text="NO">
      <formula>NOT(ISERROR(SEARCH("NO",CS37)))</formula>
    </cfRule>
  </conditionalFormatting>
  <conditionalFormatting sqref="AW38:AZ40">
    <cfRule type="containsText" dxfId="0" priority="73" operator="between" text="NO">
      <formula>NOT(ISERROR(SEARCH("NO",AW38)))</formula>
    </cfRule>
  </conditionalFormatting>
  <printOptions horizontalCentered="1"/>
  <pageMargins left="0.196850393700787" right="0.196850393700787" top="0.748031496062992" bottom="0.748031496062992" header="0.31496062992126" footer="0.31496062992126"/>
  <pageSetup paperSize="9" orientation="landscape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45"/>
  <sheetViews>
    <sheetView tabSelected="1" zoomScale="130" zoomScaleNormal="130" topLeftCell="AV1" workbookViewId="0">
      <selection activeCell="AY6" sqref="AY6"/>
    </sheetView>
  </sheetViews>
  <sheetFormatPr defaultColWidth="10.752380952381" defaultRowHeight="15"/>
  <cols>
    <col min="1" max="1" width="2.75238095238095" customWidth="1"/>
    <col min="2" max="3" width="13.752380952381" customWidth="1"/>
    <col min="4" max="4" width="8" customWidth="1"/>
    <col min="5" max="8" width="4.75238095238095" style="6" customWidth="1"/>
    <col min="9" max="9" width="3.75238095238095" customWidth="1"/>
    <col min="10" max="13" width="4.75238095238095" style="6" customWidth="1"/>
    <col min="14" max="14" width="3.75238095238095" customWidth="1"/>
    <col min="15" max="15" width="5.75238095238095" customWidth="1"/>
    <col min="16" max="16" width="6.37142857142857" customWidth="1"/>
    <col min="17" max="17" width="4.75238095238095" customWidth="1"/>
    <col min="18" max="18" width="3.75238095238095" customWidth="1"/>
    <col min="19" max="21" width="4.24761904761905" customWidth="1"/>
    <col min="22" max="22" width="3.75238095238095" customWidth="1"/>
    <col min="23" max="23" width="1.87619047619048" customWidth="1"/>
    <col min="24" max="24" width="5.37142857142857" customWidth="1"/>
    <col min="25" max="25" width="4.75238095238095" customWidth="1"/>
    <col min="26" max="27" width="4.37142857142857" customWidth="1"/>
    <col min="28" max="28" width="3.87619047619048" customWidth="1"/>
    <col min="29" max="29" width="5.12380952380952" customWidth="1"/>
    <col min="30" max="30" width="4.12380952380952" customWidth="1"/>
    <col min="31" max="31" width="4.37142857142857" customWidth="1"/>
    <col min="32" max="32" width="3.87619047619048" customWidth="1"/>
    <col min="33" max="33" width="1.12380952380952" customWidth="1"/>
    <col min="34" max="37" width="3.12380952380952" customWidth="1"/>
    <col min="38" max="38" width="1.24761904761905" customWidth="1"/>
    <col min="39" max="40" width="3.12380952380952" customWidth="1"/>
    <col min="41" max="41" width="1.12380952380952" customWidth="1"/>
    <col min="42" max="42" width="4" customWidth="1"/>
    <col min="44" max="55" width="10.752380952381" customWidth="1"/>
  </cols>
  <sheetData>
    <row r="1" ht="23.25" spans="1:42">
      <c r="A1" s="7" t="s">
        <v>273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99"/>
      <c r="AP1" s="7"/>
    </row>
    <row r="2" ht="16.5" customHeight="1" spans="1:42">
      <c r="A2" s="8" t="s">
        <v>119</v>
      </c>
      <c r="B2" s="9"/>
      <c r="C2" s="10" t="s">
        <v>120</v>
      </c>
      <c r="D2" s="10"/>
      <c r="E2" s="11" t="s">
        <v>274</v>
      </c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78"/>
      <c r="AG2" s="83"/>
      <c r="AH2" s="84" t="s">
        <v>122</v>
      </c>
      <c r="AI2" s="84"/>
      <c r="AJ2" s="84"/>
      <c r="AK2" s="84"/>
      <c r="AL2" s="84"/>
      <c r="AM2" s="84"/>
      <c r="AN2" s="85"/>
      <c r="AO2" s="100"/>
      <c r="AP2" s="101" t="s">
        <v>123</v>
      </c>
    </row>
    <row r="3" ht="40.5" customHeight="1" spans="1:44">
      <c r="A3" s="8"/>
      <c r="B3" s="13"/>
      <c r="C3" s="14" t="s">
        <v>124</v>
      </c>
      <c r="D3" s="14"/>
      <c r="E3" s="15" t="s">
        <v>125</v>
      </c>
      <c r="F3" s="16"/>
      <c r="G3" s="16"/>
      <c r="H3" s="17"/>
      <c r="I3" s="47"/>
      <c r="J3" s="48" t="s">
        <v>126</v>
      </c>
      <c r="K3" s="17"/>
      <c r="L3" s="17"/>
      <c r="M3" s="17"/>
      <c r="N3" s="47"/>
      <c r="O3" s="48" t="s">
        <v>127</v>
      </c>
      <c r="P3" s="17"/>
      <c r="Q3" s="17"/>
      <c r="R3" s="47"/>
      <c r="S3" s="48" t="s">
        <v>128</v>
      </c>
      <c r="T3" s="17"/>
      <c r="U3" s="17"/>
      <c r="V3" s="47"/>
      <c r="W3" s="71"/>
      <c r="X3" s="48" t="s">
        <v>129</v>
      </c>
      <c r="Y3" s="17"/>
      <c r="Z3" s="17"/>
      <c r="AA3" s="17"/>
      <c r="AB3" s="47"/>
      <c r="AC3" s="48" t="s">
        <v>130</v>
      </c>
      <c r="AD3" s="17"/>
      <c r="AE3" s="17"/>
      <c r="AF3" s="47"/>
      <c r="AG3" s="86"/>
      <c r="AH3" s="87" t="s">
        <v>131</v>
      </c>
      <c r="AI3" s="87" t="s">
        <v>132</v>
      </c>
      <c r="AJ3" s="87" t="s">
        <v>133</v>
      </c>
      <c r="AK3" s="87" t="s">
        <v>134</v>
      </c>
      <c r="AL3" s="88"/>
      <c r="AM3" s="87" t="s">
        <v>135</v>
      </c>
      <c r="AN3" s="89" t="s">
        <v>136</v>
      </c>
      <c r="AO3" s="102"/>
      <c r="AP3" s="101"/>
      <c r="AR3" s="103" t="s">
        <v>137</v>
      </c>
    </row>
    <row r="4" ht="21.95" customHeight="1" spans="1:42">
      <c r="A4" s="8"/>
      <c r="B4" s="18" t="s">
        <v>138</v>
      </c>
      <c r="C4" s="18"/>
      <c r="D4" s="19"/>
      <c r="E4" s="20" t="s">
        <v>139</v>
      </c>
      <c r="F4" s="20" t="s">
        <v>140</v>
      </c>
      <c r="G4" s="20" t="s">
        <v>141</v>
      </c>
      <c r="H4" s="21"/>
      <c r="I4" s="49" t="s">
        <v>142</v>
      </c>
      <c r="J4" s="50" t="s">
        <v>246</v>
      </c>
      <c r="K4" s="51" t="s">
        <v>247</v>
      </c>
      <c r="L4" s="52" t="s">
        <v>248</v>
      </c>
      <c r="M4" s="52"/>
      <c r="N4" s="49" t="s">
        <v>146</v>
      </c>
      <c r="O4" s="50" t="s">
        <v>147</v>
      </c>
      <c r="P4" s="51" t="s">
        <v>249</v>
      </c>
      <c r="Q4" s="52"/>
      <c r="R4" s="49" t="s">
        <v>149</v>
      </c>
      <c r="S4" s="50" t="s">
        <v>150</v>
      </c>
      <c r="T4" s="51" t="s">
        <v>151</v>
      </c>
      <c r="U4" s="52"/>
      <c r="V4" s="49" t="s">
        <v>152</v>
      </c>
      <c r="W4" s="72"/>
      <c r="X4" s="51" t="s">
        <v>153</v>
      </c>
      <c r="Y4" s="51" t="s">
        <v>154</v>
      </c>
      <c r="Z4" s="51" t="s">
        <v>155</v>
      </c>
      <c r="AA4" s="52" t="s">
        <v>156</v>
      </c>
      <c r="AB4" s="49" t="s">
        <v>157</v>
      </c>
      <c r="AC4" s="50" t="s">
        <v>158</v>
      </c>
      <c r="AD4" s="51" t="s">
        <v>159</v>
      </c>
      <c r="AE4" s="52" t="s">
        <v>160</v>
      </c>
      <c r="AF4" s="49" t="s">
        <v>161</v>
      </c>
      <c r="AG4" s="90"/>
      <c r="AH4" s="87"/>
      <c r="AI4" s="87"/>
      <c r="AJ4" s="87"/>
      <c r="AK4" s="87"/>
      <c r="AL4" s="91"/>
      <c r="AM4" s="87"/>
      <c r="AN4" s="89"/>
      <c r="AO4" s="102"/>
      <c r="AP4" s="101"/>
    </row>
    <row r="5" ht="21.95" customHeight="1" spans="1:42">
      <c r="A5" s="8"/>
      <c r="B5" s="22" t="s">
        <v>275</v>
      </c>
      <c r="C5" s="22"/>
      <c r="D5" s="23"/>
      <c r="E5" s="20"/>
      <c r="F5" s="20"/>
      <c r="G5" s="20"/>
      <c r="H5" s="24"/>
      <c r="I5" s="53"/>
      <c r="J5" s="54"/>
      <c r="K5" s="55"/>
      <c r="L5" s="56"/>
      <c r="M5" s="56"/>
      <c r="N5" s="53"/>
      <c r="O5" s="54"/>
      <c r="P5" s="55"/>
      <c r="Q5" s="56"/>
      <c r="R5" s="53"/>
      <c r="S5" s="54"/>
      <c r="T5" s="55"/>
      <c r="U5" s="56"/>
      <c r="V5" s="53"/>
      <c r="W5" s="73"/>
      <c r="X5" s="55"/>
      <c r="Y5" s="55"/>
      <c r="Z5" s="55"/>
      <c r="AA5" s="56"/>
      <c r="AB5" s="53"/>
      <c r="AC5" s="54"/>
      <c r="AD5" s="55"/>
      <c r="AE5" s="56"/>
      <c r="AF5" s="53"/>
      <c r="AG5" s="90"/>
      <c r="AH5" s="87"/>
      <c r="AI5" s="87"/>
      <c r="AJ5" s="87"/>
      <c r="AK5" s="87"/>
      <c r="AL5" s="91"/>
      <c r="AM5" s="87"/>
      <c r="AN5" s="89"/>
      <c r="AO5" s="102"/>
      <c r="AP5" s="101"/>
    </row>
    <row r="6" ht="17.25" customHeight="1" spans="1:42">
      <c r="A6" s="8"/>
      <c r="B6" s="22" t="s">
        <v>163</v>
      </c>
      <c r="C6" s="22"/>
      <c r="D6" s="23"/>
      <c r="E6" s="20"/>
      <c r="F6" s="20"/>
      <c r="G6" s="20"/>
      <c r="H6" s="24"/>
      <c r="I6" s="53"/>
      <c r="J6" s="54"/>
      <c r="K6" s="55"/>
      <c r="L6" s="56"/>
      <c r="M6" s="56"/>
      <c r="N6" s="53"/>
      <c r="O6" s="54"/>
      <c r="P6" s="55"/>
      <c r="Q6" s="56"/>
      <c r="R6" s="53"/>
      <c r="S6" s="54"/>
      <c r="T6" s="55"/>
      <c r="U6" s="56"/>
      <c r="V6" s="53"/>
      <c r="W6" s="73"/>
      <c r="X6" s="55"/>
      <c r="Y6" s="55"/>
      <c r="Z6" s="55"/>
      <c r="AA6" s="56"/>
      <c r="AB6" s="53"/>
      <c r="AC6" s="54"/>
      <c r="AD6" s="55"/>
      <c r="AE6" s="56"/>
      <c r="AF6" s="53"/>
      <c r="AG6" s="90"/>
      <c r="AH6" s="87"/>
      <c r="AI6" s="87"/>
      <c r="AJ6" s="87"/>
      <c r="AK6" s="87"/>
      <c r="AL6" s="91"/>
      <c r="AM6" s="87"/>
      <c r="AN6" s="89"/>
      <c r="AO6" s="102"/>
      <c r="AP6" s="101"/>
    </row>
    <row r="7" ht="18.75" customHeight="1" spans="1:42">
      <c r="A7" s="8"/>
      <c r="B7" s="22" t="s">
        <v>164</v>
      </c>
      <c r="C7" s="22"/>
      <c r="D7" s="23"/>
      <c r="E7" s="20"/>
      <c r="F7" s="20"/>
      <c r="G7" s="20"/>
      <c r="H7" s="24"/>
      <c r="I7" s="53"/>
      <c r="J7" s="54"/>
      <c r="K7" s="55"/>
      <c r="L7" s="56"/>
      <c r="M7" s="56"/>
      <c r="N7" s="53"/>
      <c r="O7" s="54"/>
      <c r="P7" s="55"/>
      <c r="Q7" s="56"/>
      <c r="R7" s="53"/>
      <c r="S7" s="54"/>
      <c r="T7" s="55"/>
      <c r="U7" s="56"/>
      <c r="V7" s="53"/>
      <c r="W7" s="73"/>
      <c r="X7" s="55"/>
      <c r="Y7" s="55"/>
      <c r="Z7" s="55"/>
      <c r="AA7" s="56"/>
      <c r="AB7" s="53"/>
      <c r="AC7" s="54"/>
      <c r="AD7" s="55"/>
      <c r="AE7" s="56"/>
      <c r="AF7" s="53"/>
      <c r="AG7" s="90"/>
      <c r="AH7" s="87"/>
      <c r="AI7" s="87"/>
      <c r="AJ7" s="87"/>
      <c r="AK7" s="87"/>
      <c r="AL7" s="91"/>
      <c r="AM7" s="87"/>
      <c r="AN7" s="89"/>
      <c r="AO7" s="102"/>
      <c r="AP7" s="101"/>
    </row>
    <row r="8" ht="20.25" customHeight="1" spans="1:42">
      <c r="A8" s="8"/>
      <c r="B8" s="25" t="s">
        <v>165</v>
      </c>
      <c r="C8" s="25"/>
      <c r="D8" s="26"/>
      <c r="E8" s="20"/>
      <c r="F8" s="20"/>
      <c r="G8" s="20"/>
      <c r="H8" s="24"/>
      <c r="I8" s="53"/>
      <c r="J8" s="54"/>
      <c r="K8" s="55"/>
      <c r="L8" s="56"/>
      <c r="M8" s="56"/>
      <c r="N8" s="53"/>
      <c r="O8" s="54"/>
      <c r="P8" s="55"/>
      <c r="Q8" s="56"/>
      <c r="R8" s="53"/>
      <c r="S8" s="54"/>
      <c r="T8" s="55"/>
      <c r="U8" s="56"/>
      <c r="V8" s="53"/>
      <c r="W8" s="73"/>
      <c r="X8" s="55"/>
      <c r="Y8" s="55"/>
      <c r="Z8" s="55"/>
      <c r="AA8" s="56"/>
      <c r="AB8" s="53"/>
      <c r="AC8" s="54"/>
      <c r="AD8" s="55"/>
      <c r="AE8" s="56"/>
      <c r="AF8" s="53"/>
      <c r="AG8" s="90"/>
      <c r="AH8" s="87"/>
      <c r="AI8" s="87"/>
      <c r="AJ8" s="87"/>
      <c r="AK8" s="87"/>
      <c r="AL8" s="91"/>
      <c r="AM8" s="87"/>
      <c r="AN8" s="89"/>
      <c r="AO8" s="102"/>
      <c r="AP8" s="101"/>
    </row>
    <row r="9" ht="11.25" customHeight="1" spans="1:42">
      <c r="A9" s="8"/>
      <c r="B9" s="27" t="s">
        <v>67</v>
      </c>
      <c r="C9" s="27"/>
      <c r="D9" s="28"/>
      <c r="E9" s="20"/>
      <c r="F9" s="20"/>
      <c r="G9" s="20"/>
      <c r="H9" s="24"/>
      <c r="I9" s="53"/>
      <c r="J9" s="54"/>
      <c r="K9" s="55"/>
      <c r="L9" s="56"/>
      <c r="M9" s="56"/>
      <c r="N9" s="53"/>
      <c r="O9" s="54"/>
      <c r="P9" s="55"/>
      <c r="Q9" s="56"/>
      <c r="R9" s="53"/>
      <c r="S9" s="54"/>
      <c r="T9" s="55"/>
      <c r="U9" s="56"/>
      <c r="V9" s="53"/>
      <c r="W9" s="73"/>
      <c r="X9" s="55"/>
      <c r="Y9" s="55"/>
      <c r="Z9" s="55"/>
      <c r="AA9" s="56"/>
      <c r="AB9" s="53"/>
      <c r="AC9" s="54"/>
      <c r="AD9" s="55"/>
      <c r="AE9" s="56"/>
      <c r="AF9" s="53"/>
      <c r="AG9" s="90"/>
      <c r="AH9" s="87"/>
      <c r="AI9" s="87"/>
      <c r="AJ9" s="87"/>
      <c r="AK9" s="87"/>
      <c r="AL9" s="91"/>
      <c r="AM9" s="87"/>
      <c r="AN9" s="89"/>
      <c r="AO9" s="102"/>
      <c r="AP9" s="101"/>
    </row>
    <row r="10" ht="15.75" spans="1:42">
      <c r="A10" s="8"/>
      <c r="B10" s="27"/>
      <c r="C10" s="27"/>
      <c r="D10" s="28"/>
      <c r="E10" s="29"/>
      <c r="F10" s="20"/>
      <c r="G10" s="20"/>
      <c r="H10" s="30"/>
      <c r="I10" s="53"/>
      <c r="J10" s="57"/>
      <c r="K10" s="58"/>
      <c r="L10" s="59"/>
      <c r="M10" s="59"/>
      <c r="N10" s="53"/>
      <c r="O10" s="57"/>
      <c r="P10" s="58"/>
      <c r="Q10" s="59"/>
      <c r="R10" s="53"/>
      <c r="S10" s="57"/>
      <c r="T10" s="58"/>
      <c r="U10" s="59"/>
      <c r="V10" s="53"/>
      <c r="W10" s="74"/>
      <c r="X10" s="58"/>
      <c r="Y10" s="58"/>
      <c r="Z10" s="58"/>
      <c r="AA10" s="59"/>
      <c r="AB10" s="53"/>
      <c r="AC10" s="57"/>
      <c r="AD10" s="58"/>
      <c r="AE10" s="59"/>
      <c r="AF10" s="53"/>
      <c r="AG10" s="90"/>
      <c r="AH10" s="87"/>
      <c r="AI10" s="87"/>
      <c r="AJ10" s="87"/>
      <c r="AK10" s="87"/>
      <c r="AL10" s="91"/>
      <c r="AM10" s="87"/>
      <c r="AN10" s="89"/>
      <c r="AO10" s="102"/>
      <c r="AP10" s="101"/>
    </row>
    <row r="11" ht="12.75" customHeight="1" spans="1:42">
      <c r="A11" s="31" t="s">
        <v>166</v>
      </c>
      <c r="B11" s="32" t="str">
        <f>'RELACION ESTUDIANTES - 2022'!D6</f>
        <v>APUMAITA GUTIERREZ JULIO LUCIANO</v>
      </c>
      <c r="C11" s="32"/>
      <c r="D11" s="33"/>
      <c r="E11" s="34" t="s">
        <v>102</v>
      </c>
      <c r="F11" s="35" t="s">
        <v>102</v>
      </c>
      <c r="G11" s="36" t="s">
        <v>102</v>
      </c>
      <c r="H11" s="37"/>
      <c r="I11" s="60" t="s">
        <v>102</v>
      </c>
      <c r="J11" s="34" t="s">
        <v>102</v>
      </c>
      <c r="K11" s="34" t="s">
        <v>102</v>
      </c>
      <c r="L11" s="34" t="s">
        <v>102</v>
      </c>
      <c r="M11" s="46"/>
      <c r="N11" s="61" t="s">
        <v>102</v>
      </c>
      <c r="O11" s="34" t="s">
        <v>101</v>
      </c>
      <c r="P11" s="34" t="str">
        <f>N11</f>
        <v>B</v>
      </c>
      <c r="Q11" s="46"/>
      <c r="R11" s="60" t="s">
        <v>101</v>
      </c>
      <c r="S11" s="34" t="s">
        <v>102</v>
      </c>
      <c r="T11" s="34" t="s">
        <v>102</v>
      </c>
      <c r="U11" s="46"/>
      <c r="V11" s="60" t="s">
        <v>102</v>
      </c>
      <c r="W11" s="74"/>
      <c r="X11" s="34" t="s">
        <v>102</v>
      </c>
      <c r="Y11" s="34" t="s">
        <v>102</v>
      </c>
      <c r="Z11" s="34" t="s">
        <v>102</v>
      </c>
      <c r="AA11" s="34" t="s">
        <v>102</v>
      </c>
      <c r="AB11" s="79" t="s">
        <v>102</v>
      </c>
      <c r="AC11" s="34" t="s">
        <v>102</v>
      </c>
      <c r="AD11" s="34" t="s">
        <v>102</v>
      </c>
      <c r="AE11" s="34" t="s">
        <v>102</v>
      </c>
      <c r="AF11" s="79" t="s">
        <v>102</v>
      </c>
      <c r="AG11" s="90"/>
      <c r="AH11" s="34" t="str">
        <f>I11</f>
        <v>B</v>
      </c>
      <c r="AI11" s="34" t="str">
        <f>N11</f>
        <v>B</v>
      </c>
      <c r="AJ11" s="34" t="str">
        <f>R11</f>
        <v>A</v>
      </c>
      <c r="AK11" s="34" t="str">
        <f>V11</f>
        <v>B</v>
      </c>
      <c r="AL11" s="91"/>
      <c r="AM11" s="45" t="str">
        <f>AB11</f>
        <v>B</v>
      </c>
      <c r="AN11" s="46" t="str">
        <f>AF11</f>
        <v>B</v>
      </c>
      <c r="AO11" s="102"/>
      <c r="AP11" s="104" t="s">
        <v>102</v>
      </c>
    </row>
    <row r="12" ht="12.75" customHeight="1" spans="1:55">
      <c r="A12" s="31" t="s">
        <v>167</v>
      </c>
      <c r="B12" s="32" t="str">
        <f>'RELACION ESTUDIANTES - 2022'!D7</f>
        <v>CABRERA ORTIZ THIAGO ARMANDO</v>
      </c>
      <c r="C12" s="32"/>
      <c r="D12" s="33"/>
      <c r="E12" s="34" t="s">
        <v>102</v>
      </c>
      <c r="F12" s="35" t="s">
        <v>102</v>
      </c>
      <c r="G12" s="36" t="s">
        <v>101</v>
      </c>
      <c r="H12" s="37"/>
      <c r="I12" s="61" t="s">
        <v>102</v>
      </c>
      <c r="J12" s="34" t="s">
        <v>102</v>
      </c>
      <c r="K12" s="34" t="s">
        <v>102</v>
      </c>
      <c r="L12" s="34" t="s">
        <v>102</v>
      </c>
      <c r="M12" s="46"/>
      <c r="N12" s="61" t="s">
        <v>102</v>
      </c>
      <c r="O12" s="34" t="s">
        <v>101</v>
      </c>
      <c r="P12" s="34" t="str">
        <f t="shared" ref="P12:P45" si="0">N12</f>
        <v>B</v>
      </c>
      <c r="Q12" s="46"/>
      <c r="R12" s="61" t="s">
        <v>101</v>
      </c>
      <c r="S12" s="34" t="s">
        <v>102</v>
      </c>
      <c r="T12" s="34" t="s">
        <v>101</v>
      </c>
      <c r="U12" s="46"/>
      <c r="V12" s="61" t="s">
        <v>102</v>
      </c>
      <c r="W12" s="74"/>
      <c r="X12" s="34" t="s">
        <v>102</v>
      </c>
      <c r="Y12" s="34" t="s">
        <v>102</v>
      </c>
      <c r="Z12" s="34" t="s">
        <v>102</v>
      </c>
      <c r="AA12" s="34" t="s">
        <v>102</v>
      </c>
      <c r="AB12" s="68" t="s">
        <v>102</v>
      </c>
      <c r="AC12" s="34" t="s">
        <v>105</v>
      </c>
      <c r="AD12" s="34" t="s">
        <v>105</v>
      </c>
      <c r="AE12" s="34" t="s">
        <v>105</v>
      </c>
      <c r="AF12" s="68" t="s">
        <v>105</v>
      </c>
      <c r="AG12" s="90"/>
      <c r="AH12" s="34" t="str">
        <f>I12</f>
        <v>B</v>
      </c>
      <c r="AI12" s="34" t="str">
        <f>N12</f>
        <v>B</v>
      </c>
      <c r="AJ12" s="34" t="str">
        <f>R12</f>
        <v>A</v>
      </c>
      <c r="AK12" s="34" t="str">
        <f>V12</f>
        <v>B</v>
      </c>
      <c r="AL12" s="91"/>
      <c r="AM12" s="45" t="str">
        <f t="shared" ref="AM12:AM22" si="1">AB12</f>
        <v>B</v>
      </c>
      <c r="AN12" s="46" t="str">
        <f t="shared" ref="AN12:AN22" si="2">AF12</f>
        <v>C</v>
      </c>
      <c r="AO12" s="102"/>
      <c r="AP12" s="104" t="s">
        <v>102</v>
      </c>
      <c r="AS12" s="105" t="s">
        <v>168</v>
      </c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</row>
    <row r="13" ht="12.75" customHeight="1" spans="1:52">
      <c r="A13" s="31" t="s">
        <v>169</v>
      </c>
      <c r="B13" s="32" t="str">
        <f>'RELACION ESTUDIANTES - 2022'!D8</f>
        <v>CACERES CAHUANA JESUS ANDRES</v>
      </c>
      <c r="C13" s="32"/>
      <c r="D13" s="33"/>
      <c r="E13" s="34" t="s">
        <v>100</v>
      </c>
      <c r="F13" s="38" t="s">
        <v>102</v>
      </c>
      <c r="G13" s="34" t="s">
        <v>101</v>
      </c>
      <c r="H13" s="37"/>
      <c r="I13" s="61" t="s">
        <v>101</v>
      </c>
      <c r="J13" s="34" t="s">
        <v>101</v>
      </c>
      <c r="K13" s="34" t="s">
        <v>101</v>
      </c>
      <c r="L13" s="34" t="s">
        <v>101</v>
      </c>
      <c r="M13" s="46"/>
      <c r="N13" s="61" t="s">
        <v>101</v>
      </c>
      <c r="O13" s="34" t="s">
        <v>101</v>
      </c>
      <c r="P13" s="34" t="str">
        <f t="shared" si="0"/>
        <v>A</v>
      </c>
      <c r="Q13" s="46"/>
      <c r="R13" s="61" t="s">
        <v>101</v>
      </c>
      <c r="S13" s="34" t="s">
        <v>101</v>
      </c>
      <c r="T13" s="34" t="s">
        <v>101</v>
      </c>
      <c r="U13" s="46"/>
      <c r="V13" s="61" t="s">
        <v>101</v>
      </c>
      <c r="W13" s="74"/>
      <c r="X13" s="34" t="s">
        <v>101</v>
      </c>
      <c r="Y13" s="34" t="s">
        <v>101</v>
      </c>
      <c r="Z13" s="34" t="s">
        <v>102</v>
      </c>
      <c r="AA13" s="34" t="s">
        <v>102</v>
      </c>
      <c r="AB13" s="68" t="s">
        <v>101</v>
      </c>
      <c r="AC13" s="34" t="s">
        <v>102</v>
      </c>
      <c r="AD13" s="34" t="s">
        <v>102</v>
      </c>
      <c r="AE13" s="34" t="s">
        <v>102</v>
      </c>
      <c r="AF13" s="68" t="s">
        <v>102</v>
      </c>
      <c r="AG13" s="90"/>
      <c r="AH13" s="34" t="str">
        <f>I13</f>
        <v>A</v>
      </c>
      <c r="AI13" s="34" t="str">
        <f>N13</f>
        <v>A</v>
      </c>
      <c r="AJ13" s="34" t="str">
        <f>R13</f>
        <v>A</v>
      </c>
      <c r="AK13" s="34" t="str">
        <f>V13</f>
        <v>A</v>
      </c>
      <c r="AL13" s="91"/>
      <c r="AM13" s="45" t="str">
        <f t="shared" si="1"/>
        <v>A</v>
      </c>
      <c r="AN13" s="46" t="str">
        <f t="shared" si="2"/>
        <v>B</v>
      </c>
      <c r="AO13" s="102"/>
      <c r="AP13" s="104" t="s">
        <v>101</v>
      </c>
      <c r="AX13" s="105" t="s">
        <v>170</v>
      </c>
      <c r="AY13" s="105"/>
      <c r="AZ13" s="105" t="s">
        <v>171</v>
      </c>
    </row>
    <row r="14" ht="12.75" customHeight="1" spans="1:54">
      <c r="A14" s="39" t="s">
        <v>172</v>
      </c>
      <c r="B14" s="32" t="str">
        <f>'RELACION ESTUDIANTES - 2022'!D9</f>
        <v>DE LA CRUZ SIGUAS LUIS ALBERTO</v>
      </c>
      <c r="C14" s="32"/>
      <c r="D14" s="33"/>
      <c r="E14" s="34" t="s">
        <v>102</v>
      </c>
      <c r="F14" s="38" t="s">
        <v>102</v>
      </c>
      <c r="G14" s="34" t="s">
        <v>102</v>
      </c>
      <c r="H14" s="37"/>
      <c r="I14" s="61" t="s">
        <v>102</v>
      </c>
      <c r="J14" s="34" t="s">
        <v>102</v>
      </c>
      <c r="K14" s="34" t="s">
        <v>102</v>
      </c>
      <c r="L14" s="34" t="s">
        <v>102</v>
      </c>
      <c r="M14" s="62"/>
      <c r="N14" s="61" t="s">
        <v>102</v>
      </c>
      <c r="O14" s="34" t="s">
        <v>102</v>
      </c>
      <c r="P14" s="34" t="str">
        <f t="shared" si="0"/>
        <v>B</v>
      </c>
      <c r="Q14" s="62"/>
      <c r="R14" s="63" t="s">
        <v>102</v>
      </c>
      <c r="S14" s="34" t="s">
        <v>102</v>
      </c>
      <c r="T14" s="34" t="s">
        <v>102</v>
      </c>
      <c r="U14" s="62"/>
      <c r="V14" s="63" t="s">
        <v>102</v>
      </c>
      <c r="W14" s="73"/>
      <c r="X14" s="34" t="s">
        <v>102</v>
      </c>
      <c r="Y14" s="34" t="s">
        <v>102</v>
      </c>
      <c r="Z14" s="34" t="s">
        <v>102</v>
      </c>
      <c r="AA14" s="34" t="s">
        <v>102</v>
      </c>
      <c r="AB14" s="80" t="s">
        <v>102</v>
      </c>
      <c r="AC14" s="34" t="s">
        <v>102</v>
      </c>
      <c r="AD14" s="34" t="s">
        <v>102</v>
      </c>
      <c r="AE14" s="34" t="s">
        <v>102</v>
      </c>
      <c r="AF14" s="80" t="s">
        <v>102</v>
      </c>
      <c r="AG14" s="90"/>
      <c r="AH14" s="34" t="str">
        <f t="shared" ref="AH14:AH22" si="3">I14</f>
        <v>B</v>
      </c>
      <c r="AI14" s="34" t="str">
        <f t="shared" ref="AI14:AI22" si="4">N14</f>
        <v>B</v>
      </c>
      <c r="AJ14" s="34" t="str">
        <f t="shared" ref="AJ14:AJ22" si="5">R14</f>
        <v>B</v>
      </c>
      <c r="AK14" s="34" t="str">
        <f t="shared" ref="AK14:AK22" si="6">V14</f>
        <v>B</v>
      </c>
      <c r="AL14" s="91"/>
      <c r="AM14" s="92" t="str">
        <f t="shared" si="1"/>
        <v>B</v>
      </c>
      <c r="AN14" s="62" t="str">
        <f t="shared" si="2"/>
        <v>B</v>
      </c>
      <c r="AO14" s="102"/>
      <c r="AP14" s="107" t="s">
        <v>102</v>
      </c>
      <c r="AS14" s="105" t="s">
        <v>173</v>
      </c>
      <c r="AT14" s="106"/>
      <c r="AU14" s="106"/>
      <c r="AV14" s="106"/>
      <c r="AX14">
        <f t="shared" ref="AX14:BB14" si="7">SUM(AX15:AX22)</f>
        <v>12</v>
      </c>
      <c r="AZ14" s="116">
        <f t="shared" si="7"/>
        <v>100</v>
      </c>
      <c r="BB14">
        <f t="shared" si="7"/>
        <v>100</v>
      </c>
    </row>
    <row r="15" ht="12.75" customHeight="1" spans="1:54">
      <c r="A15" s="31" t="s">
        <v>174</v>
      </c>
      <c r="B15" s="32" t="str">
        <f>'RELACION ESTUDIANTES - 2022'!D10</f>
        <v>HERNANDEZ PEÑA JOSEPH ANDREE</v>
      </c>
      <c r="C15" s="32"/>
      <c r="D15" s="33"/>
      <c r="E15" s="34" t="s">
        <v>102</v>
      </c>
      <c r="F15" s="38" t="s">
        <v>102</v>
      </c>
      <c r="G15" s="34" t="s">
        <v>102</v>
      </c>
      <c r="H15" s="40"/>
      <c r="I15" s="63" t="s">
        <v>102</v>
      </c>
      <c r="J15" s="34" t="s">
        <v>102</v>
      </c>
      <c r="K15" s="34" t="s">
        <v>105</v>
      </c>
      <c r="L15" s="34" t="s">
        <v>102</v>
      </c>
      <c r="M15" s="64"/>
      <c r="N15" s="63" t="s">
        <v>102</v>
      </c>
      <c r="O15" s="34" t="s">
        <v>102</v>
      </c>
      <c r="P15" s="34" t="str">
        <f t="shared" si="0"/>
        <v>B</v>
      </c>
      <c r="Q15" s="64"/>
      <c r="R15" s="75" t="s">
        <v>102</v>
      </c>
      <c r="S15" s="34" t="s">
        <v>102</v>
      </c>
      <c r="T15" s="34" t="s">
        <v>105</v>
      </c>
      <c r="U15" s="64"/>
      <c r="V15" s="75" t="s">
        <v>105</v>
      </c>
      <c r="W15" s="76"/>
      <c r="X15" s="34" t="s">
        <v>102</v>
      </c>
      <c r="Y15" s="34" t="s">
        <v>102</v>
      </c>
      <c r="Z15" s="34" t="s">
        <v>102</v>
      </c>
      <c r="AA15" s="34" t="s">
        <v>105</v>
      </c>
      <c r="AB15" s="81" t="s">
        <v>102</v>
      </c>
      <c r="AC15" s="34" t="s">
        <v>105</v>
      </c>
      <c r="AD15" s="34" t="s">
        <v>105</v>
      </c>
      <c r="AE15" s="34" t="s">
        <v>105</v>
      </c>
      <c r="AF15" s="81" t="s">
        <v>105</v>
      </c>
      <c r="AG15" s="93"/>
      <c r="AH15" s="34" t="str">
        <f t="shared" si="3"/>
        <v>B</v>
      </c>
      <c r="AI15" s="34" t="str">
        <f t="shared" si="4"/>
        <v>B</v>
      </c>
      <c r="AJ15" s="34" t="str">
        <f t="shared" si="5"/>
        <v>B</v>
      </c>
      <c r="AK15" s="34" t="str">
        <f t="shared" si="6"/>
        <v>C</v>
      </c>
      <c r="AL15" s="94"/>
      <c r="AM15" s="82" t="str">
        <f t="shared" si="1"/>
        <v>B</v>
      </c>
      <c r="AN15" s="82" t="str">
        <f t="shared" si="2"/>
        <v>C</v>
      </c>
      <c r="AO15" s="108"/>
      <c r="AP15" s="109" t="s">
        <v>102</v>
      </c>
      <c r="AR15" s="110" t="s">
        <v>175</v>
      </c>
      <c r="AS15" s="105" t="s">
        <v>100</v>
      </c>
      <c r="AT15" s="106"/>
      <c r="AU15" s="106"/>
      <c r="AV15" s="106"/>
      <c r="AX15" s="117">
        <f>COUNTIF($AP$11:$AP$22,"AD")</f>
        <v>1</v>
      </c>
      <c r="AY15" s="118"/>
      <c r="AZ15" s="119">
        <f t="shared" ref="AZ15:AZ22" si="8">AX15*100/$AX$14</f>
        <v>8.33333333333333</v>
      </c>
      <c r="BB15">
        <v>0</v>
      </c>
    </row>
    <row r="16" ht="12.75" customHeight="1" spans="1:54">
      <c r="A16" s="31" t="s">
        <v>176</v>
      </c>
      <c r="B16" s="32" t="str">
        <f>'RELACION ESTUDIANTES - 2022'!D11</f>
        <v>JUAREZ LEGUA VICTOR DANIEL</v>
      </c>
      <c r="C16" s="32"/>
      <c r="D16" s="33"/>
      <c r="E16" s="34" t="s">
        <v>100</v>
      </c>
      <c r="F16" s="38" t="s">
        <v>101</v>
      </c>
      <c r="G16" s="34" t="s">
        <v>100</v>
      </c>
      <c r="H16" s="41"/>
      <c r="I16" s="65" t="s">
        <v>100</v>
      </c>
      <c r="J16" s="34" t="s">
        <v>101</v>
      </c>
      <c r="K16" s="34" t="s">
        <v>101</v>
      </c>
      <c r="L16" s="34" t="s">
        <v>101</v>
      </c>
      <c r="M16" s="64"/>
      <c r="N16" s="65" t="s">
        <v>101</v>
      </c>
      <c r="O16" s="34" t="s">
        <v>101</v>
      </c>
      <c r="P16" s="34" t="str">
        <f t="shared" si="0"/>
        <v>A</v>
      </c>
      <c r="Q16" s="64"/>
      <c r="R16" s="75" t="s">
        <v>101</v>
      </c>
      <c r="S16" s="34" t="s">
        <v>100</v>
      </c>
      <c r="T16" s="34" t="s">
        <v>100</v>
      </c>
      <c r="U16" s="64"/>
      <c r="V16" s="75" t="s">
        <v>100</v>
      </c>
      <c r="W16" s="76"/>
      <c r="X16" s="34" t="s">
        <v>101</v>
      </c>
      <c r="Y16" s="34" t="s">
        <v>101</v>
      </c>
      <c r="Z16" s="34" t="s">
        <v>101</v>
      </c>
      <c r="AA16" s="34" t="s">
        <v>102</v>
      </c>
      <c r="AB16" s="81" t="s">
        <v>101</v>
      </c>
      <c r="AC16" s="34" t="s">
        <v>102</v>
      </c>
      <c r="AD16" s="34" t="s">
        <v>102</v>
      </c>
      <c r="AE16" s="34" t="s">
        <v>102</v>
      </c>
      <c r="AF16" s="81" t="s">
        <v>102</v>
      </c>
      <c r="AG16" s="93"/>
      <c r="AH16" s="34" t="str">
        <f t="shared" si="3"/>
        <v>AD</v>
      </c>
      <c r="AI16" s="34" t="str">
        <f t="shared" si="4"/>
        <v>A</v>
      </c>
      <c r="AJ16" s="34" t="str">
        <f t="shared" si="5"/>
        <v>A</v>
      </c>
      <c r="AK16" s="34" t="str">
        <f t="shared" si="6"/>
        <v>AD</v>
      </c>
      <c r="AL16" s="94"/>
      <c r="AM16" s="82" t="str">
        <f t="shared" si="1"/>
        <v>A</v>
      </c>
      <c r="AN16" s="82" t="str">
        <f t="shared" si="2"/>
        <v>B</v>
      </c>
      <c r="AO16" s="108"/>
      <c r="AP16" s="109" t="s">
        <v>100</v>
      </c>
      <c r="AS16" s="105" t="s">
        <v>101</v>
      </c>
      <c r="AT16" s="106"/>
      <c r="AU16" s="106"/>
      <c r="AV16" s="106"/>
      <c r="AX16" s="117">
        <f>COUNTIF($AP$11:$AP$22,"A")</f>
        <v>3</v>
      </c>
      <c r="AY16" s="118"/>
      <c r="AZ16" s="119">
        <f t="shared" si="8"/>
        <v>25</v>
      </c>
      <c r="BB16">
        <v>50</v>
      </c>
    </row>
    <row r="17" ht="12.75" customHeight="1" spans="1:54">
      <c r="A17" s="31" t="s">
        <v>177</v>
      </c>
      <c r="B17" s="32" t="str">
        <f>'RELACION ESTUDIANTES - 2022'!D12</f>
        <v>MEJIA SIMON VICENTE MISAEL</v>
      </c>
      <c r="C17" s="32"/>
      <c r="D17" s="33"/>
      <c r="E17" s="34" t="s">
        <v>100</v>
      </c>
      <c r="F17" s="38" t="s">
        <v>102</v>
      </c>
      <c r="G17" s="34" t="s">
        <v>101</v>
      </c>
      <c r="H17" s="41"/>
      <c r="I17" s="65" t="s">
        <v>101</v>
      </c>
      <c r="J17" s="34" t="s">
        <v>101</v>
      </c>
      <c r="K17" s="34" t="s">
        <v>101</v>
      </c>
      <c r="L17" s="34" t="s">
        <v>101</v>
      </c>
      <c r="M17" s="43"/>
      <c r="N17" s="65" t="s">
        <v>101</v>
      </c>
      <c r="O17" s="34" t="s">
        <v>101</v>
      </c>
      <c r="P17" s="34" t="str">
        <f t="shared" si="0"/>
        <v>A</v>
      </c>
      <c r="Q17" s="43"/>
      <c r="R17" s="65" t="s">
        <v>101</v>
      </c>
      <c r="S17" s="34" t="s">
        <v>100</v>
      </c>
      <c r="T17" s="34" t="s">
        <v>101</v>
      </c>
      <c r="U17" s="43"/>
      <c r="V17" s="65" t="s">
        <v>101</v>
      </c>
      <c r="W17" s="74"/>
      <c r="X17" s="34" t="s">
        <v>101</v>
      </c>
      <c r="Y17" s="34" t="s">
        <v>101</v>
      </c>
      <c r="Z17" s="34" t="s">
        <v>101</v>
      </c>
      <c r="AA17" s="34" t="s">
        <v>102</v>
      </c>
      <c r="AB17" s="70" t="s">
        <v>101</v>
      </c>
      <c r="AC17" s="34" t="s">
        <v>102</v>
      </c>
      <c r="AD17" s="34" t="s">
        <v>102</v>
      </c>
      <c r="AE17" s="34" t="s">
        <v>102</v>
      </c>
      <c r="AF17" s="70" t="s">
        <v>102</v>
      </c>
      <c r="AG17" s="90"/>
      <c r="AH17" s="34" t="str">
        <f t="shared" si="3"/>
        <v>A</v>
      </c>
      <c r="AI17" s="34" t="str">
        <f t="shared" si="4"/>
        <v>A</v>
      </c>
      <c r="AJ17" s="34" t="str">
        <f t="shared" si="5"/>
        <v>A</v>
      </c>
      <c r="AK17" s="34" t="str">
        <f t="shared" si="6"/>
        <v>A</v>
      </c>
      <c r="AL17" s="91"/>
      <c r="AM17" s="44" t="str">
        <f t="shared" si="1"/>
        <v>A</v>
      </c>
      <c r="AN17" s="43" t="str">
        <f t="shared" si="2"/>
        <v>B</v>
      </c>
      <c r="AO17" s="102"/>
      <c r="AP17" s="111" t="s">
        <v>101</v>
      </c>
      <c r="AR17" s="110" t="s">
        <v>175</v>
      </c>
      <c r="AS17" s="105" t="s">
        <v>102</v>
      </c>
      <c r="AT17" s="106"/>
      <c r="AU17" s="106"/>
      <c r="AV17" s="106"/>
      <c r="AX17" s="117">
        <f>COUNTIF($AP$11:$AP$22,"B")</f>
        <v>8</v>
      </c>
      <c r="AY17" s="118"/>
      <c r="AZ17" s="119">
        <f t="shared" si="8"/>
        <v>66.6666666666667</v>
      </c>
      <c r="BB17">
        <v>33</v>
      </c>
    </row>
    <row r="18" ht="12.75" customHeight="1" spans="1:54">
      <c r="A18" s="31" t="s">
        <v>178</v>
      </c>
      <c r="B18" s="32" t="str">
        <f>'RELACION ESTUDIANTES - 2022'!D13</f>
        <v>MEZA CARDENAS FERNANDO ALEXANDER</v>
      </c>
      <c r="C18" s="32"/>
      <c r="D18" s="33"/>
      <c r="E18" s="34" t="s">
        <v>101</v>
      </c>
      <c r="F18" s="38" t="s">
        <v>101</v>
      </c>
      <c r="G18" s="34" t="s">
        <v>101</v>
      </c>
      <c r="H18" s="37"/>
      <c r="I18" s="61" t="s">
        <v>101</v>
      </c>
      <c r="J18" s="34" t="s">
        <v>101</v>
      </c>
      <c r="K18" s="34" t="s">
        <v>101</v>
      </c>
      <c r="L18" s="34" t="s">
        <v>101</v>
      </c>
      <c r="M18" s="46"/>
      <c r="N18" s="61" t="s">
        <v>101</v>
      </c>
      <c r="O18" s="34" t="s">
        <v>101</v>
      </c>
      <c r="P18" s="34" t="str">
        <f t="shared" si="0"/>
        <v>A</v>
      </c>
      <c r="Q18" s="46"/>
      <c r="R18" s="61" t="s">
        <v>101</v>
      </c>
      <c r="S18" s="34" t="s">
        <v>102</v>
      </c>
      <c r="T18" s="34" t="s">
        <v>101</v>
      </c>
      <c r="U18" s="46"/>
      <c r="V18" s="61" t="s">
        <v>102</v>
      </c>
      <c r="W18" s="74"/>
      <c r="X18" s="34" t="s">
        <v>102</v>
      </c>
      <c r="Y18" s="34" t="s">
        <v>102</v>
      </c>
      <c r="Z18" s="34" t="s">
        <v>102</v>
      </c>
      <c r="AA18" s="34" t="s">
        <v>102</v>
      </c>
      <c r="AB18" s="68" t="s">
        <v>102</v>
      </c>
      <c r="AC18" s="34" t="s">
        <v>102</v>
      </c>
      <c r="AD18" s="34" t="s">
        <v>102</v>
      </c>
      <c r="AE18" s="34" t="s">
        <v>102</v>
      </c>
      <c r="AF18" s="68" t="s">
        <v>102</v>
      </c>
      <c r="AG18" s="90"/>
      <c r="AH18" s="34" t="str">
        <f t="shared" si="3"/>
        <v>A</v>
      </c>
      <c r="AI18" s="34" t="str">
        <f t="shared" si="4"/>
        <v>A</v>
      </c>
      <c r="AJ18" s="34" t="str">
        <f t="shared" si="5"/>
        <v>A</v>
      </c>
      <c r="AK18" s="34" t="str">
        <f t="shared" si="6"/>
        <v>B</v>
      </c>
      <c r="AL18" s="91"/>
      <c r="AM18" s="45" t="str">
        <f t="shared" si="1"/>
        <v>B</v>
      </c>
      <c r="AN18" s="46" t="str">
        <f t="shared" si="2"/>
        <v>B</v>
      </c>
      <c r="AO18" s="102"/>
      <c r="AP18" s="104" t="s">
        <v>101</v>
      </c>
      <c r="AS18" s="105" t="s">
        <v>105</v>
      </c>
      <c r="AT18" s="106"/>
      <c r="AU18" s="106"/>
      <c r="AV18" s="106"/>
      <c r="AX18" s="117">
        <f>COUNTIF($AP$11:$AP$22,"C")</f>
        <v>0</v>
      </c>
      <c r="AY18" s="118"/>
      <c r="AZ18" s="119">
        <f t="shared" si="8"/>
        <v>0</v>
      </c>
      <c r="BB18">
        <v>17</v>
      </c>
    </row>
    <row r="19" ht="12.75" customHeight="1" spans="1:52">
      <c r="A19" s="31" t="s">
        <v>179</v>
      </c>
      <c r="B19" s="32" t="str">
        <f>'RELACION ESTUDIANTES - 2022'!D14</f>
        <v>MISAICO CHAHUAILA JUAN DAVID</v>
      </c>
      <c r="C19" s="32"/>
      <c r="D19" s="33"/>
      <c r="E19" s="34" t="s">
        <v>101</v>
      </c>
      <c r="F19" s="38" t="s">
        <v>101</v>
      </c>
      <c r="G19" s="34" t="s">
        <v>101</v>
      </c>
      <c r="H19" s="37"/>
      <c r="I19" s="61" t="s">
        <v>101</v>
      </c>
      <c r="J19" s="34" t="s">
        <v>102</v>
      </c>
      <c r="K19" s="34" t="s">
        <v>101</v>
      </c>
      <c r="L19" s="34" t="s">
        <v>102</v>
      </c>
      <c r="M19" s="46"/>
      <c r="N19" s="61" t="s">
        <v>102</v>
      </c>
      <c r="O19" s="34" t="s">
        <v>101</v>
      </c>
      <c r="P19" s="34" t="str">
        <f t="shared" si="0"/>
        <v>B</v>
      </c>
      <c r="Q19" s="46"/>
      <c r="R19" s="61" t="s">
        <v>101</v>
      </c>
      <c r="S19" s="34" t="s">
        <v>102</v>
      </c>
      <c r="T19" s="34" t="s">
        <v>105</v>
      </c>
      <c r="U19" s="46"/>
      <c r="V19" s="61" t="s">
        <v>105</v>
      </c>
      <c r="W19" s="74"/>
      <c r="X19" s="34" t="s">
        <v>101</v>
      </c>
      <c r="Y19" s="34" t="s">
        <v>101</v>
      </c>
      <c r="Z19" s="34" t="s">
        <v>101</v>
      </c>
      <c r="AA19" s="34" t="s">
        <v>102</v>
      </c>
      <c r="AB19" s="68" t="s">
        <v>101</v>
      </c>
      <c r="AC19" s="34" t="s">
        <v>102</v>
      </c>
      <c r="AD19" s="34" t="s">
        <v>102</v>
      </c>
      <c r="AE19" s="34" t="s">
        <v>102</v>
      </c>
      <c r="AF19" s="68" t="s">
        <v>102</v>
      </c>
      <c r="AG19" s="90"/>
      <c r="AH19" s="34" t="str">
        <f t="shared" si="3"/>
        <v>A</v>
      </c>
      <c r="AI19" s="34" t="str">
        <f t="shared" si="4"/>
        <v>B</v>
      </c>
      <c r="AJ19" s="34" t="str">
        <f t="shared" si="5"/>
        <v>A</v>
      </c>
      <c r="AK19" s="34" t="str">
        <f t="shared" si="6"/>
        <v>C</v>
      </c>
      <c r="AL19" s="91"/>
      <c r="AM19" s="45" t="str">
        <f t="shared" si="1"/>
        <v>A</v>
      </c>
      <c r="AN19" s="46" t="str">
        <f t="shared" si="2"/>
        <v>B</v>
      </c>
      <c r="AO19" s="102"/>
      <c r="AP19" s="104" t="s">
        <v>102</v>
      </c>
      <c r="AS19" s="105" t="s">
        <v>180</v>
      </c>
      <c r="AT19" s="106"/>
      <c r="AU19" s="106"/>
      <c r="AV19" s="106"/>
      <c r="AX19" s="117">
        <v>0</v>
      </c>
      <c r="AY19" s="118"/>
      <c r="AZ19" s="119">
        <f t="shared" si="8"/>
        <v>0</v>
      </c>
    </row>
    <row r="20" ht="12.75" customHeight="1" spans="1:52">
      <c r="A20" s="31" t="s">
        <v>181</v>
      </c>
      <c r="B20" s="32" t="str">
        <f>'RELACION ESTUDIANTES - 2022'!D15</f>
        <v>MUÑOZ QUINTANILLA JACKXEL EDUARDO</v>
      </c>
      <c r="C20" s="32"/>
      <c r="D20" s="33"/>
      <c r="E20" s="34" t="s">
        <v>268</v>
      </c>
      <c r="F20" s="38" t="s">
        <v>102</v>
      </c>
      <c r="G20" s="34" t="s">
        <v>102</v>
      </c>
      <c r="H20" s="37"/>
      <c r="I20" s="61" t="s">
        <v>102</v>
      </c>
      <c r="J20" s="34" t="s">
        <v>102</v>
      </c>
      <c r="K20" s="34" t="s">
        <v>101</v>
      </c>
      <c r="L20" s="34" t="s">
        <v>102</v>
      </c>
      <c r="M20" s="46"/>
      <c r="N20" s="61" t="s">
        <v>102</v>
      </c>
      <c r="O20" s="34" t="s">
        <v>101</v>
      </c>
      <c r="P20" s="34" t="str">
        <f t="shared" si="0"/>
        <v>B</v>
      </c>
      <c r="Q20" s="46"/>
      <c r="R20" s="61" t="s">
        <v>101</v>
      </c>
      <c r="S20" s="34" t="s">
        <v>101</v>
      </c>
      <c r="T20" s="34" t="s">
        <v>105</v>
      </c>
      <c r="U20" s="46"/>
      <c r="V20" s="61" t="s">
        <v>105</v>
      </c>
      <c r="W20" s="74"/>
      <c r="X20" s="34" t="s">
        <v>102</v>
      </c>
      <c r="Y20" s="34" t="s">
        <v>102</v>
      </c>
      <c r="Z20" s="34" t="s">
        <v>102</v>
      </c>
      <c r="AA20" s="34" t="s">
        <v>102</v>
      </c>
      <c r="AB20" s="68" t="s">
        <v>102</v>
      </c>
      <c r="AC20" s="34" t="s">
        <v>102</v>
      </c>
      <c r="AD20" s="34" t="s">
        <v>102</v>
      </c>
      <c r="AE20" s="34" t="s">
        <v>102</v>
      </c>
      <c r="AF20" s="68" t="s">
        <v>102</v>
      </c>
      <c r="AG20" s="90"/>
      <c r="AH20" s="34" t="str">
        <f t="shared" si="3"/>
        <v>B</v>
      </c>
      <c r="AI20" s="34" t="str">
        <f t="shared" si="4"/>
        <v>B</v>
      </c>
      <c r="AJ20" s="34" t="str">
        <f t="shared" si="5"/>
        <v>A</v>
      </c>
      <c r="AK20" s="34" t="str">
        <f t="shared" si="6"/>
        <v>C</v>
      </c>
      <c r="AL20" s="91"/>
      <c r="AM20" s="45" t="str">
        <f t="shared" si="1"/>
        <v>B</v>
      </c>
      <c r="AN20" s="46" t="str">
        <f t="shared" si="2"/>
        <v>B</v>
      </c>
      <c r="AO20" s="102"/>
      <c r="AP20" s="104" t="s">
        <v>102</v>
      </c>
      <c r="AS20" s="105" t="s">
        <v>182</v>
      </c>
      <c r="AT20" s="106"/>
      <c r="AU20" s="106"/>
      <c r="AV20" s="106"/>
      <c r="AX20" s="117">
        <v>0</v>
      </c>
      <c r="AY20" s="118"/>
      <c r="AZ20" s="119">
        <f t="shared" si="8"/>
        <v>0</v>
      </c>
    </row>
    <row r="21" ht="12.75" customHeight="1" spans="1:52">
      <c r="A21" s="31" t="s">
        <v>183</v>
      </c>
      <c r="B21" s="32" t="str">
        <f>'RELACION ESTUDIANTES - 2022'!D16</f>
        <v>PEÑA ASCENCIO CESAR LUIS</v>
      </c>
      <c r="C21" s="32"/>
      <c r="D21" s="33"/>
      <c r="E21" s="34" t="s">
        <v>102</v>
      </c>
      <c r="F21" s="38" t="s">
        <v>102</v>
      </c>
      <c r="G21" s="34" t="s">
        <v>102</v>
      </c>
      <c r="H21" s="40"/>
      <c r="I21" s="61" t="s">
        <v>102</v>
      </c>
      <c r="J21" s="34" t="s">
        <v>102</v>
      </c>
      <c r="K21" s="34" t="s">
        <v>102</v>
      </c>
      <c r="L21" s="34" t="s">
        <v>102</v>
      </c>
      <c r="M21" s="62"/>
      <c r="N21" s="61" t="s">
        <v>102</v>
      </c>
      <c r="O21" s="34" t="s">
        <v>101</v>
      </c>
      <c r="P21" s="34" t="str">
        <f t="shared" si="0"/>
        <v>B</v>
      </c>
      <c r="Q21" s="62"/>
      <c r="R21" s="61" t="s">
        <v>101</v>
      </c>
      <c r="S21" s="34" t="s">
        <v>102</v>
      </c>
      <c r="T21" s="34" t="s">
        <v>105</v>
      </c>
      <c r="U21" s="62"/>
      <c r="V21" s="61" t="s">
        <v>105</v>
      </c>
      <c r="W21" s="74"/>
      <c r="X21" s="34" t="s">
        <v>102</v>
      </c>
      <c r="Y21" s="34" t="s">
        <v>102</v>
      </c>
      <c r="Z21" s="34" t="s">
        <v>105</v>
      </c>
      <c r="AA21" s="34" t="s">
        <v>105</v>
      </c>
      <c r="AB21" s="68" t="s">
        <v>102</v>
      </c>
      <c r="AC21" s="34" t="s">
        <v>105</v>
      </c>
      <c r="AD21" s="34" t="s">
        <v>105</v>
      </c>
      <c r="AE21" s="34" t="s">
        <v>105</v>
      </c>
      <c r="AF21" s="80" t="s">
        <v>105</v>
      </c>
      <c r="AG21" s="90"/>
      <c r="AH21" s="34" t="str">
        <f t="shared" si="3"/>
        <v>B</v>
      </c>
      <c r="AI21" s="34" t="str">
        <f t="shared" si="4"/>
        <v>B</v>
      </c>
      <c r="AJ21" s="34" t="str">
        <f t="shared" si="5"/>
        <v>A</v>
      </c>
      <c r="AK21" s="34" t="str">
        <f t="shared" si="6"/>
        <v>C</v>
      </c>
      <c r="AL21" s="91"/>
      <c r="AM21" s="92" t="str">
        <f t="shared" si="1"/>
        <v>B</v>
      </c>
      <c r="AN21" s="62" t="str">
        <f t="shared" si="2"/>
        <v>C</v>
      </c>
      <c r="AO21" s="102"/>
      <c r="AP21" s="107" t="s">
        <v>102</v>
      </c>
      <c r="AS21" s="105" t="s">
        <v>184</v>
      </c>
      <c r="AT21" s="106"/>
      <c r="AU21" s="106"/>
      <c r="AV21" s="106"/>
      <c r="AX21" s="117">
        <v>0</v>
      </c>
      <c r="AY21" s="118"/>
      <c r="AZ21" s="119">
        <f t="shared" si="8"/>
        <v>0</v>
      </c>
    </row>
    <row r="22" ht="12.75" customHeight="1" spans="1:52">
      <c r="A22" s="31" t="s">
        <v>185</v>
      </c>
      <c r="B22" s="32" t="str">
        <f>'RELACION ESTUDIANTES - 2022'!D17</f>
        <v>SOSA FUENTES UBALDO FRANCISCO</v>
      </c>
      <c r="C22" s="32"/>
      <c r="D22" s="33"/>
      <c r="E22" s="34" t="s">
        <v>105</v>
      </c>
      <c r="F22" s="38" t="s">
        <v>105</v>
      </c>
      <c r="G22" s="34" t="s">
        <v>101</v>
      </c>
      <c r="H22" s="42"/>
      <c r="I22" s="63" t="s">
        <v>105</v>
      </c>
      <c r="J22" s="34" t="s">
        <v>102</v>
      </c>
      <c r="K22" s="34" t="s">
        <v>102</v>
      </c>
      <c r="L22" s="34" t="s">
        <v>102</v>
      </c>
      <c r="M22" s="64"/>
      <c r="N22" s="63" t="s">
        <v>102</v>
      </c>
      <c r="O22" s="34" t="s">
        <v>102</v>
      </c>
      <c r="P22" s="34" t="str">
        <f t="shared" si="0"/>
        <v>B</v>
      </c>
      <c r="Q22" s="64"/>
      <c r="R22" s="63" t="s">
        <v>102</v>
      </c>
      <c r="S22" s="34" t="s">
        <v>102</v>
      </c>
      <c r="T22" s="34" t="s">
        <v>105</v>
      </c>
      <c r="U22" s="64"/>
      <c r="V22" s="63" t="s">
        <v>105</v>
      </c>
      <c r="W22" s="77"/>
      <c r="X22" s="34" t="s">
        <v>102</v>
      </c>
      <c r="Y22" s="34" t="s">
        <v>102</v>
      </c>
      <c r="Z22" s="34" t="s">
        <v>102</v>
      </c>
      <c r="AA22" s="34" t="s">
        <v>102</v>
      </c>
      <c r="AB22" s="80" t="s">
        <v>102</v>
      </c>
      <c r="AC22" s="34" t="s">
        <v>105</v>
      </c>
      <c r="AD22" s="34" t="s">
        <v>105</v>
      </c>
      <c r="AE22" s="34" t="s">
        <v>105</v>
      </c>
      <c r="AF22" s="82" t="s">
        <v>105</v>
      </c>
      <c r="AG22" s="95"/>
      <c r="AH22" s="34" t="str">
        <f t="shared" si="3"/>
        <v>C</v>
      </c>
      <c r="AI22" s="34" t="str">
        <f t="shared" si="4"/>
        <v>B</v>
      </c>
      <c r="AJ22" s="34" t="str">
        <f t="shared" si="5"/>
        <v>B</v>
      </c>
      <c r="AK22" s="34" t="str">
        <f t="shared" si="6"/>
        <v>C</v>
      </c>
      <c r="AL22" s="96"/>
      <c r="AM22" s="82" t="str">
        <f t="shared" si="1"/>
        <v>B</v>
      </c>
      <c r="AN22" s="82" t="str">
        <f t="shared" si="2"/>
        <v>C</v>
      </c>
      <c r="AO22" s="102"/>
      <c r="AP22" s="109" t="s">
        <v>102</v>
      </c>
      <c r="AS22" s="105" t="s">
        <v>186</v>
      </c>
      <c r="AT22" s="106"/>
      <c r="AU22" s="106"/>
      <c r="AV22" s="106"/>
      <c r="AX22" s="117">
        <v>0</v>
      </c>
      <c r="AY22" s="118"/>
      <c r="AZ22" s="119">
        <f t="shared" si="8"/>
        <v>0</v>
      </c>
    </row>
    <row r="23" ht="12.75" customHeight="1" spans="1:42">
      <c r="A23" s="31" t="s">
        <v>187</v>
      </c>
      <c r="B23" s="32"/>
      <c r="C23" s="32"/>
      <c r="D23" s="32"/>
      <c r="E23" s="36"/>
      <c r="F23" s="34"/>
      <c r="G23" s="34"/>
      <c r="H23" s="43"/>
      <c r="I23" s="65"/>
      <c r="J23" s="66"/>
      <c r="K23" s="44"/>
      <c r="L23" s="44"/>
      <c r="M23" s="43"/>
      <c r="N23" s="65"/>
      <c r="O23" s="66"/>
      <c r="P23" s="34">
        <f t="shared" si="0"/>
        <v>0</v>
      </c>
      <c r="Q23" s="43"/>
      <c r="R23" s="70"/>
      <c r="S23" s="66"/>
      <c r="T23" s="44"/>
      <c r="U23" s="43"/>
      <c r="V23" s="70"/>
      <c r="W23" s="74"/>
      <c r="X23" s="44"/>
      <c r="Y23" s="44"/>
      <c r="Z23" s="44"/>
      <c r="AA23" s="43"/>
      <c r="AB23" s="70"/>
      <c r="AC23" s="66"/>
      <c r="AD23" s="44"/>
      <c r="AE23" s="43"/>
      <c r="AF23" s="70"/>
      <c r="AG23" s="90"/>
      <c r="AH23" s="44"/>
      <c r="AI23" s="44"/>
      <c r="AJ23" s="44"/>
      <c r="AK23" s="44"/>
      <c r="AL23" s="91"/>
      <c r="AM23" s="44"/>
      <c r="AN23" s="43"/>
      <c r="AO23" s="102"/>
      <c r="AP23" s="112"/>
    </row>
    <row r="24" ht="12.75" customHeight="1" spans="1:42">
      <c r="A24" s="31" t="s">
        <v>188</v>
      </c>
      <c r="B24" s="32"/>
      <c r="C24" s="32"/>
      <c r="D24" s="32"/>
      <c r="E24" s="44"/>
      <c r="F24" s="44"/>
      <c r="G24" s="44"/>
      <c r="H24" s="43"/>
      <c r="I24" s="65"/>
      <c r="J24" s="66"/>
      <c r="K24" s="44"/>
      <c r="L24" s="44"/>
      <c r="M24" s="43"/>
      <c r="N24" s="65"/>
      <c r="O24" s="66"/>
      <c r="P24" s="34">
        <f t="shared" si="0"/>
        <v>0</v>
      </c>
      <c r="Q24" s="43"/>
      <c r="R24" s="70"/>
      <c r="S24" s="66"/>
      <c r="T24" s="44"/>
      <c r="U24" s="43"/>
      <c r="V24" s="70"/>
      <c r="W24" s="74"/>
      <c r="X24" s="44"/>
      <c r="Y24" s="44"/>
      <c r="Z24" s="44"/>
      <c r="AA24" s="43"/>
      <c r="AB24" s="70"/>
      <c r="AC24" s="66"/>
      <c r="AD24" s="44"/>
      <c r="AE24" s="43"/>
      <c r="AF24" s="70"/>
      <c r="AG24" s="90"/>
      <c r="AH24" s="44"/>
      <c r="AI24" s="44"/>
      <c r="AJ24" s="44"/>
      <c r="AK24" s="44"/>
      <c r="AL24" s="91"/>
      <c r="AM24" s="44"/>
      <c r="AN24" s="43"/>
      <c r="AO24" s="102"/>
      <c r="AP24" s="112"/>
    </row>
    <row r="25" ht="12.75" customHeight="1" spans="1:52">
      <c r="A25" s="31" t="s">
        <v>189</v>
      </c>
      <c r="B25" s="32"/>
      <c r="C25" s="32"/>
      <c r="D25" s="32"/>
      <c r="E25" s="45"/>
      <c r="F25" s="45"/>
      <c r="G25" s="45"/>
      <c r="H25" s="46"/>
      <c r="I25" s="61"/>
      <c r="J25" s="67"/>
      <c r="K25" s="45"/>
      <c r="L25" s="45"/>
      <c r="M25" s="46"/>
      <c r="N25" s="61"/>
      <c r="O25" s="67"/>
      <c r="P25" s="34">
        <f t="shared" si="0"/>
        <v>0</v>
      </c>
      <c r="Q25" s="46"/>
      <c r="R25" s="68"/>
      <c r="S25" s="67"/>
      <c r="T25" s="45"/>
      <c r="U25" s="46"/>
      <c r="V25" s="68"/>
      <c r="W25" s="74"/>
      <c r="X25" s="45"/>
      <c r="Y25" s="45"/>
      <c r="Z25" s="45"/>
      <c r="AA25" s="46"/>
      <c r="AB25" s="68"/>
      <c r="AC25" s="67"/>
      <c r="AD25" s="45"/>
      <c r="AE25" s="46"/>
      <c r="AF25" s="68"/>
      <c r="AG25" s="90"/>
      <c r="AH25" s="45"/>
      <c r="AI25" s="45"/>
      <c r="AJ25" s="45"/>
      <c r="AK25" s="45"/>
      <c r="AL25" s="91"/>
      <c r="AM25" s="45"/>
      <c r="AN25" s="46"/>
      <c r="AO25" s="102"/>
      <c r="AP25" s="113"/>
      <c r="AZ25" s="120">
        <f>SUM(AZ15:AZ22)</f>
        <v>100</v>
      </c>
    </row>
    <row r="26" ht="12.75" customHeight="1" spans="1:47">
      <c r="A26" s="31" t="s">
        <v>190</v>
      </c>
      <c r="B26" s="32"/>
      <c r="C26" s="32"/>
      <c r="D26" s="32"/>
      <c r="E26" s="45"/>
      <c r="F26" s="45"/>
      <c r="G26" s="45"/>
      <c r="H26" s="46"/>
      <c r="I26" s="61"/>
      <c r="J26" s="67"/>
      <c r="K26" s="45"/>
      <c r="L26" s="45"/>
      <c r="M26" s="46"/>
      <c r="N26" s="61"/>
      <c r="O26" s="67"/>
      <c r="P26" s="34">
        <f t="shared" si="0"/>
        <v>0</v>
      </c>
      <c r="Q26" s="46"/>
      <c r="R26" s="68"/>
      <c r="S26" s="67"/>
      <c r="T26" s="45"/>
      <c r="U26" s="46"/>
      <c r="V26" s="68"/>
      <c r="W26" s="74"/>
      <c r="X26" s="45"/>
      <c r="Y26" s="45"/>
      <c r="Z26" s="45"/>
      <c r="AA26" s="46"/>
      <c r="AB26" s="68"/>
      <c r="AC26" s="67"/>
      <c r="AD26" s="45"/>
      <c r="AE26" s="46"/>
      <c r="AF26" s="68"/>
      <c r="AG26" s="90"/>
      <c r="AH26" s="45"/>
      <c r="AI26" s="45"/>
      <c r="AJ26" s="45"/>
      <c r="AK26" s="45"/>
      <c r="AL26" s="91"/>
      <c r="AM26" s="45"/>
      <c r="AN26" s="46"/>
      <c r="AO26" s="102"/>
      <c r="AP26" s="113"/>
      <c r="AT26" t="s">
        <v>100</v>
      </c>
      <c r="AU26">
        <f>COUNTIF(AP11:AP28,"AD")</f>
        <v>1</v>
      </c>
    </row>
    <row r="27" ht="12.75" customHeight="1" spans="1:47">
      <c r="A27" s="31" t="s">
        <v>191</v>
      </c>
      <c r="B27" s="32"/>
      <c r="C27" s="32"/>
      <c r="D27" s="32"/>
      <c r="E27" s="45"/>
      <c r="F27" s="45"/>
      <c r="G27" s="45"/>
      <c r="H27" s="46"/>
      <c r="I27" s="61"/>
      <c r="J27" s="67"/>
      <c r="K27" s="45"/>
      <c r="L27" s="45"/>
      <c r="M27" s="46"/>
      <c r="N27" s="61"/>
      <c r="O27" s="67"/>
      <c r="P27" s="34">
        <f t="shared" si="0"/>
        <v>0</v>
      </c>
      <c r="Q27" s="46"/>
      <c r="R27" s="68"/>
      <c r="S27" s="67"/>
      <c r="T27" s="45"/>
      <c r="U27" s="46"/>
      <c r="V27" s="68"/>
      <c r="W27" s="74"/>
      <c r="X27" s="45"/>
      <c r="Y27" s="45"/>
      <c r="Z27" s="45"/>
      <c r="AA27" s="46"/>
      <c r="AB27" s="68"/>
      <c r="AC27" s="67"/>
      <c r="AD27" s="45"/>
      <c r="AE27" s="46"/>
      <c r="AF27" s="68"/>
      <c r="AG27" s="90"/>
      <c r="AH27" s="45"/>
      <c r="AI27" s="45"/>
      <c r="AJ27" s="45"/>
      <c r="AK27" s="45"/>
      <c r="AL27" s="91"/>
      <c r="AM27" s="45"/>
      <c r="AN27" s="46"/>
      <c r="AO27" s="102"/>
      <c r="AP27" s="113"/>
      <c r="AT27" t="s">
        <v>101</v>
      </c>
      <c r="AU27">
        <f>COUNTIF(AP11:AP28,"A")</f>
        <v>3</v>
      </c>
    </row>
    <row r="28" ht="12.75" customHeight="1" spans="1:47">
      <c r="A28" s="31" t="s">
        <v>192</v>
      </c>
      <c r="B28" s="32"/>
      <c r="C28" s="32"/>
      <c r="D28" s="32"/>
      <c r="E28" s="45"/>
      <c r="F28" s="45"/>
      <c r="G28" s="45"/>
      <c r="H28" s="46"/>
      <c r="I28" s="61"/>
      <c r="J28" s="67"/>
      <c r="K28" s="45"/>
      <c r="L28" s="45"/>
      <c r="M28" s="46"/>
      <c r="N28" s="61"/>
      <c r="O28" s="67"/>
      <c r="P28" s="34">
        <f t="shared" si="0"/>
        <v>0</v>
      </c>
      <c r="Q28" s="46"/>
      <c r="R28" s="68"/>
      <c r="S28" s="67"/>
      <c r="T28" s="45"/>
      <c r="U28" s="46"/>
      <c r="V28" s="68"/>
      <c r="W28" s="74"/>
      <c r="X28" s="45"/>
      <c r="Y28" s="45"/>
      <c r="Z28" s="45"/>
      <c r="AA28" s="46"/>
      <c r="AB28" s="68"/>
      <c r="AC28" s="67"/>
      <c r="AD28" s="45"/>
      <c r="AE28" s="46"/>
      <c r="AF28" s="68"/>
      <c r="AG28" s="90"/>
      <c r="AH28" s="45"/>
      <c r="AI28" s="45"/>
      <c r="AJ28" s="45"/>
      <c r="AK28" s="45"/>
      <c r="AL28" s="91"/>
      <c r="AM28" s="45"/>
      <c r="AN28" s="46"/>
      <c r="AO28" s="102"/>
      <c r="AP28" s="113"/>
      <c r="AT28" t="s">
        <v>102</v>
      </c>
      <c r="AU28">
        <f>COUNTIF(AP11:AP28,"B")</f>
        <v>8</v>
      </c>
    </row>
    <row r="29" ht="12.75" customHeight="1" spans="1:47">
      <c r="A29" s="31" t="s">
        <v>193</v>
      </c>
      <c r="B29" s="32"/>
      <c r="C29" s="32"/>
      <c r="D29" s="32"/>
      <c r="E29" s="45"/>
      <c r="F29" s="45"/>
      <c r="G29" s="45"/>
      <c r="H29" s="46"/>
      <c r="I29" s="68"/>
      <c r="J29" s="67"/>
      <c r="K29" s="45"/>
      <c r="L29" s="45"/>
      <c r="M29" s="46"/>
      <c r="N29" s="68"/>
      <c r="O29" s="67"/>
      <c r="P29" s="34">
        <f t="shared" si="0"/>
        <v>0</v>
      </c>
      <c r="Q29" s="46"/>
      <c r="R29" s="68"/>
      <c r="S29" s="67"/>
      <c r="T29" s="45"/>
      <c r="U29" s="46"/>
      <c r="V29" s="68"/>
      <c r="W29" s="74"/>
      <c r="X29" s="45"/>
      <c r="Y29" s="45"/>
      <c r="Z29" s="45"/>
      <c r="AA29" s="46"/>
      <c r="AB29" s="68"/>
      <c r="AC29" s="67"/>
      <c r="AD29" s="45"/>
      <c r="AE29" s="46"/>
      <c r="AF29" s="68"/>
      <c r="AG29" s="90"/>
      <c r="AH29" s="45"/>
      <c r="AI29" s="45"/>
      <c r="AJ29" s="45"/>
      <c r="AK29" s="45"/>
      <c r="AL29" s="91"/>
      <c r="AM29" s="45"/>
      <c r="AN29" s="46"/>
      <c r="AO29" s="102"/>
      <c r="AP29" s="113"/>
      <c r="AT29" t="s">
        <v>105</v>
      </c>
      <c r="AU29">
        <f>COUNTIF(AP11:AP28,"C")</f>
        <v>0</v>
      </c>
    </row>
    <row r="30" ht="12.75" customHeight="1" spans="1:42">
      <c r="A30" s="31" t="s">
        <v>194</v>
      </c>
      <c r="B30" s="32"/>
      <c r="C30" s="32"/>
      <c r="D30" s="32"/>
      <c r="E30" s="45"/>
      <c r="F30" s="45"/>
      <c r="G30" s="45"/>
      <c r="H30" s="46"/>
      <c r="I30" s="69"/>
      <c r="J30" s="67"/>
      <c r="K30" s="45"/>
      <c r="L30" s="45"/>
      <c r="M30" s="46"/>
      <c r="N30" s="69"/>
      <c r="O30" s="67"/>
      <c r="P30" s="34">
        <f t="shared" si="0"/>
        <v>0</v>
      </c>
      <c r="Q30" s="46"/>
      <c r="R30" s="69"/>
      <c r="S30" s="67"/>
      <c r="T30" s="45"/>
      <c r="U30" s="46"/>
      <c r="V30" s="69"/>
      <c r="W30" s="74"/>
      <c r="X30" s="45"/>
      <c r="Y30" s="45"/>
      <c r="Z30" s="45"/>
      <c r="AA30" s="46"/>
      <c r="AB30" s="69"/>
      <c r="AC30" s="67"/>
      <c r="AD30" s="45"/>
      <c r="AE30" s="46"/>
      <c r="AF30" s="69"/>
      <c r="AG30" s="90"/>
      <c r="AH30" s="45"/>
      <c r="AI30" s="45"/>
      <c r="AJ30" s="45"/>
      <c r="AK30" s="45"/>
      <c r="AL30" s="91"/>
      <c r="AM30" s="45"/>
      <c r="AN30" s="46"/>
      <c r="AO30" s="102"/>
      <c r="AP30" s="114"/>
    </row>
    <row r="31" ht="12.75" customHeight="1" spans="1:47">
      <c r="A31" s="31" t="s">
        <v>195</v>
      </c>
      <c r="B31" s="32"/>
      <c r="C31" s="32"/>
      <c r="D31" s="32"/>
      <c r="E31" s="45"/>
      <c r="F31" s="45"/>
      <c r="G31" s="45"/>
      <c r="H31" s="46"/>
      <c r="I31" s="70"/>
      <c r="J31" s="67"/>
      <c r="K31" s="45"/>
      <c r="L31" s="45"/>
      <c r="M31" s="46"/>
      <c r="N31" s="70"/>
      <c r="O31" s="67"/>
      <c r="P31" s="34">
        <f t="shared" si="0"/>
        <v>0</v>
      </c>
      <c r="Q31" s="46"/>
      <c r="R31" s="70"/>
      <c r="S31" s="67"/>
      <c r="T31" s="45"/>
      <c r="U31" s="46"/>
      <c r="V31" s="70"/>
      <c r="W31" s="74"/>
      <c r="X31" s="45"/>
      <c r="Y31" s="45"/>
      <c r="Z31" s="45"/>
      <c r="AA31" s="46"/>
      <c r="AB31" s="70"/>
      <c r="AC31" s="67"/>
      <c r="AD31" s="45"/>
      <c r="AE31" s="46"/>
      <c r="AF31" s="70"/>
      <c r="AG31" s="90"/>
      <c r="AH31" s="45"/>
      <c r="AI31" s="45"/>
      <c r="AJ31" s="45"/>
      <c r="AK31" s="45"/>
      <c r="AL31" s="91"/>
      <c r="AM31" s="45"/>
      <c r="AN31" s="46"/>
      <c r="AO31" s="102"/>
      <c r="AP31" s="114"/>
      <c r="AU31">
        <f>SUM(AU26:AU29)</f>
        <v>12</v>
      </c>
    </row>
    <row r="32" ht="12.75" customHeight="1" spans="1:42">
      <c r="A32" s="31" t="s">
        <v>196</v>
      </c>
      <c r="B32" s="32"/>
      <c r="C32" s="32"/>
      <c r="D32" s="32"/>
      <c r="E32" s="45"/>
      <c r="F32" s="45"/>
      <c r="G32" s="45"/>
      <c r="H32" s="46"/>
      <c r="I32" s="68"/>
      <c r="J32" s="67"/>
      <c r="K32" s="45"/>
      <c r="L32" s="45"/>
      <c r="M32" s="46"/>
      <c r="N32" s="68"/>
      <c r="O32" s="67"/>
      <c r="P32" s="34">
        <f t="shared" si="0"/>
        <v>0</v>
      </c>
      <c r="Q32" s="46"/>
      <c r="R32" s="68"/>
      <c r="S32" s="67"/>
      <c r="T32" s="45"/>
      <c r="U32" s="46"/>
      <c r="V32" s="68"/>
      <c r="W32" s="74"/>
      <c r="X32" s="45"/>
      <c r="Y32" s="45"/>
      <c r="Z32" s="45"/>
      <c r="AA32" s="46"/>
      <c r="AB32" s="69"/>
      <c r="AC32" s="67"/>
      <c r="AD32" s="45"/>
      <c r="AE32" s="46"/>
      <c r="AF32" s="69"/>
      <c r="AG32" s="90"/>
      <c r="AH32" s="45"/>
      <c r="AI32" s="45"/>
      <c r="AJ32" s="45"/>
      <c r="AK32" s="45"/>
      <c r="AL32" s="91"/>
      <c r="AM32" s="45"/>
      <c r="AN32" s="46"/>
      <c r="AO32" s="102"/>
      <c r="AP32" s="114"/>
    </row>
    <row r="33" ht="12.75" customHeight="1" spans="1:42">
      <c r="A33" s="31" t="s">
        <v>197</v>
      </c>
      <c r="B33" s="32"/>
      <c r="C33" s="32"/>
      <c r="D33" s="32"/>
      <c r="E33" s="45"/>
      <c r="F33" s="45"/>
      <c r="G33" s="45"/>
      <c r="H33" s="46"/>
      <c r="I33" s="68"/>
      <c r="J33" s="67"/>
      <c r="K33" s="45"/>
      <c r="L33" s="45"/>
      <c r="M33" s="46"/>
      <c r="N33" s="68"/>
      <c r="O33" s="67"/>
      <c r="P33" s="34">
        <f t="shared" si="0"/>
        <v>0</v>
      </c>
      <c r="Q33" s="46"/>
      <c r="R33" s="68"/>
      <c r="S33" s="67"/>
      <c r="T33" s="45"/>
      <c r="U33" s="46"/>
      <c r="V33" s="68"/>
      <c r="W33" s="74"/>
      <c r="X33" s="45"/>
      <c r="Y33" s="45"/>
      <c r="Z33" s="45"/>
      <c r="AA33" s="46"/>
      <c r="AB33" s="70"/>
      <c r="AC33" s="67"/>
      <c r="AD33" s="45"/>
      <c r="AE33" s="46"/>
      <c r="AF33" s="70"/>
      <c r="AG33" s="90"/>
      <c r="AH33" s="45"/>
      <c r="AI33" s="45"/>
      <c r="AJ33" s="45"/>
      <c r="AK33" s="45"/>
      <c r="AL33" s="91"/>
      <c r="AM33" s="45"/>
      <c r="AN33" s="46"/>
      <c r="AO33" s="102"/>
      <c r="AP33" s="114"/>
    </row>
    <row r="34" ht="12.75" customHeight="1" spans="1:42">
      <c r="A34" s="31" t="s">
        <v>198</v>
      </c>
      <c r="B34" s="32"/>
      <c r="C34" s="32"/>
      <c r="D34" s="32"/>
      <c r="E34" s="45"/>
      <c r="F34" s="45"/>
      <c r="G34" s="45"/>
      <c r="H34" s="46"/>
      <c r="I34" s="69"/>
      <c r="J34" s="67"/>
      <c r="K34" s="45"/>
      <c r="L34" s="45"/>
      <c r="M34" s="46"/>
      <c r="N34" s="68"/>
      <c r="O34" s="67"/>
      <c r="P34" s="34">
        <f t="shared" si="0"/>
        <v>0</v>
      </c>
      <c r="Q34" s="46"/>
      <c r="R34" s="68"/>
      <c r="S34" s="67"/>
      <c r="T34" s="45"/>
      <c r="U34" s="46"/>
      <c r="V34" s="68"/>
      <c r="W34" s="74"/>
      <c r="X34" s="45"/>
      <c r="Y34" s="45"/>
      <c r="Z34" s="45"/>
      <c r="AA34" s="46"/>
      <c r="AB34" s="68"/>
      <c r="AC34" s="67"/>
      <c r="AD34" s="45"/>
      <c r="AE34" s="46"/>
      <c r="AF34" s="68"/>
      <c r="AG34" s="90"/>
      <c r="AH34" s="45"/>
      <c r="AI34" s="45"/>
      <c r="AJ34" s="45"/>
      <c r="AK34" s="45"/>
      <c r="AL34" s="91"/>
      <c r="AM34" s="45"/>
      <c r="AN34" s="46"/>
      <c r="AO34" s="102"/>
      <c r="AP34" s="114"/>
    </row>
    <row r="35" ht="12.75" customHeight="1" spans="1:42">
      <c r="A35" s="31" t="s">
        <v>199</v>
      </c>
      <c r="B35" s="32"/>
      <c r="C35" s="32"/>
      <c r="D35" s="32"/>
      <c r="E35" s="45"/>
      <c r="F35" s="45"/>
      <c r="G35" s="45"/>
      <c r="H35" s="46"/>
      <c r="I35" s="70"/>
      <c r="J35" s="67"/>
      <c r="K35" s="45"/>
      <c r="L35" s="45"/>
      <c r="M35" s="46"/>
      <c r="N35" s="69"/>
      <c r="O35" s="67"/>
      <c r="P35" s="34">
        <f t="shared" si="0"/>
        <v>0</v>
      </c>
      <c r="Q35" s="46"/>
      <c r="R35" s="68"/>
      <c r="S35" s="67"/>
      <c r="T35" s="45"/>
      <c r="U35" s="46"/>
      <c r="V35" s="68"/>
      <c r="W35" s="74"/>
      <c r="X35" s="45"/>
      <c r="Y35" s="45"/>
      <c r="Z35" s="45"/>
      <c r="AA35" s="46"/>
      <c r="AB35" s="68"/>
      <c r="AC35" s="67"/>
      <c r="AD35" s="45"/>
      <c r="AE35" s="46"/>
      <c r="AF35" s="68"/>
      <c r="AG35" s="90"/>
      <c r="AH35" s="45"/>
      <c r="AI35" s="45"/>
      <c r="AJ35" s="45"/>
      <c r="AK35" s="45"/>
      <c r="AL35" s="91"/>
      <c r="AM35" s="45"/>
      <c r="AN35" s="46"/>
      <c r="AO35" s="102"/>
      <c r="AP35" s="114"/>
    </row>
    <row r="36" ht="12.75" customHeight="1" spans="1:42">
      <c r="A36" s="31" t="s">
        <v>200</v>
      </c>
      <c r="B36" s="32"/>
      <c r="C36" s="32"/>
      <c r="D36" s="32"/>
      <c r="E36" s="45"/>
      <c r="F36" s="45"/>
      <c r="G36" s="45"/>
      <c r="H36" s="46"/>
      <c r="I36" s="68"/>
      <c r="J36" s="67"/>
      <c r="K36" s="45"/>
      <c r="L36" s="45"/>
      <c r="M36" s="46"/>
      <c r="N36" s="70"/>
      <c r="O36" s="67"/>
      <c r="P36" s="34">
        <f t="shared" si="0"/>
        <v>0</v>
      </c>
      <c r="Q36" s="46"/>
      <c r="R36" s="68"/>
      <c r="S36" s="67"/>
      <c r="T36" s="45"/>
      <c r="U36" s="46"/>
      <c r="V36" s="68"/>
      <c r="W36" s="74"/>
      <c r="X36" s="45"/>
      <c r="Y36" s="45"/>
      <c r="Z36" s="45"/>
      <c r="AA36" s="46"/>
      <c r="AB36" s="68"/>
      <c r="AC36" s="67"/>
      <c r="AD36" s="45"/>
      <c r="AE36" s="46"/>
      <c r="AF36" s="68"/>
      <c r="AG36" s="90"/>
      <c r="AH36" s="45"/>
      <c r="AI36" s="45"/>
      <c r="AJ36" s="45"/>
      <c r="AK36" s="45"/>
      <c r="AL36" s="91"/>
      <c r="AM36" s="45"/>
      <c r="AN36" s="46"/>
      <c r="AO36" s="102"/>
      <c r="AP36" s="114"/>
    </row>
    <row r="37" ht="12.75" customHeight="1" spans="1:42">
      <c r="A37" s="31" t="s">
        <v>201</v>
      </c>
      <c r="B37" s="32"/>
      <c r="C37" s="32"/>
      <c r="D37" s="32"/>
      <c r="E37" s="45"/>
      <c r="F37" s="45"/>
      <c r="G37" s="45"/>
      <c r="H37" s="46"/>
      <c r="I37" s="68"/>
      <c r="J37" s="67"/>
      <c r="K37" s="45"/>
      <c r="L37" s="45"/>
      <c r="M37" s="46"/>
      <c r="N37" s="68"/>
      <c r="O37" s="67"/>
      <c r="P37" s="34">
        <f t="shared" si="0"/>
        <v>0</v>
      </c>
      <c r="Q37" s="46"/>
      <c r="R37" s="68"/>
      <c r="S37" s="67"/>
      <c r="T37" s="45"/>
      <c r="U37" s="46"/>
      <c r="V37" s="68"/>
      <c r="W37" s="74"/>
      <c r="X37" s="45"/>
      <c r="Y37" s="45"/>
      <c r="Z37" s="45"/>
      <c r="AA37" s="46"/>
      <c r="AB37" s="68"/>
      <c r="AC37" s="67"/>
      <c r="AD37" s="45"/>
      <c r="AE37" s="46"/>
      <c r="AF37" s="68"/>
      <c r="AG37" s="90"/>
      <c r="AH37" s="45"/>
      <c r="AI37" s="45"/>
      <c r="AJ37" s="45"/>
      <c r="AK37" s="45"/>
      <c r="AL37" s="91"/>
      <c r="AM37" s="45"/>
      <c r="AN37" s="46"/>
      <c r="AO37" s="102"/>
      <c r="AP37" s="114"/>
    </row>
    <row r="38" ht="12.75" customHeight="1" spans="1:42">
      <c r="A38" s="31" t="s">
        <v>202</v>
      </c>
      <c r="B38" s="32"/>
      <c r="C38" s="32"/>
      <c r="D38" s="32"/>
      <c r="E38" s="45"/>
      <c r="F38" s="45"/>
      <c r="G38" s="45"/>
      <c r="H38" s="46"/>
      <c r="I38" s="68"/>
      <c r="J38" s="67"/>
      <c r="K38" s="45"/>
      <c r="L38" s="45"/>
      <c r="M38" s="46"/>
      <c r="N38" s="68"/>
      <c r="O38" s="67"/>
      <c r="P38" s="34">
        <f t="shared" si="0"/>
        <v>0</v>
      </c>
      <c r="Q38" s="46"/>
      <c r="R38" s="68"/>
      <c r="S38" s="67"/>
      <c r="T38" s="45"/>
      <c r="U38" s="46"/>
      <c r="V38" s="68"/>
      <c r="W38" s="74"/>
      <c r="X38" s="45"/>
      <c r="Y38" s="45"/>
      <c r="Z38" s="45"/>
      <c r="AA38" s="46"/>
      <c r="AB38" s="68"/>
      <c r="AC38" s="67"/>
      <c r="AD38" s="45"/>
      <c r="AE38" s="46"/>
      <c r="AF38" s="68"/>
      <c r="AG38" s="90"/>
      <c r="AH38" s="45"/>
      <c r="AI38" s="45"/>
      <c r="AJ38" s="45"/>
      <c r="AK38" s="45"/>
      <c r="AL38" s="91"/>
      <c r="AM38" s="45"/>
      <c r="AN38" s="46"/>
      <c r="AO38" s="102"/>
      <c r="AP38" s="114"/>
    </row>
    <row r="39" ht="12.75" customHeight="1" spans="1:42">
      <c r="A39" s="31" t="s">
        <v>203</v>
      </c>
      <c r="B39" s="32"/>
      <c r="C39" s="32"/>
      <c r="D39" s="32"/>
      <c r="E39" s="45"/>
      <c r="F39" s="45"/>
      <c r="G39" s="45"/>
      <c r="H39" s="46"/>
      <c r="I39" s="68"/>
      <c r="J39" s="67"/>
      <c r="K39" s="45"/>
      <c r="L39" s="45"/>
      <c r="M39" s="46"/>
      <c r="N39" s="68"/>
      <c r="O39" s="67"/>
      <c r="P39" s="34">
        <f t="shared" si="0"/>
        <v>0</v>
      </c>
      <c r="Q39" s="46"/>
      <c r="R39" s="68"/>
      <c r="S39" s="67"/>
      <c r="T39" s="45"/>
      <c r="U39" s="46"/>
      <c r="V39" s="69"/>
      <c r="W39" s="74"/>
      <c r="X39" s="45"/>
      <c r="Y39" s="45"/>
      <c r="Z39" s="45"/>
      <c r="AA39" s="46"/>
      <c r="AB39" s="68"/>
      <c r="AC39" s="67"/>
      <c r="AD39" s="45"/>
      <c r="AE39" s="46"/>
      <c r="AF39" s="68"/>
      <c r="AG39" s="90"/>
      <c r="AH39" s="45"/>
      <c r="AI39" s="45"/>
      <c r="AJ39" s="45"/>
      <c r="AK39" s="45"/>
      <c r="AL39" s="91"/>
      <c r="AM39" s="45"/>
      <c r="AN39" s="46"/>
      <c r="AO39" s="102"/>
      <c r="AP39" s="114"/>
    </row>
    <row r="40" ht="12.75" customHeight="1" spans="1:42">
      <c r="A40" s="31" t="s">
        <v>204</v>
      </c>
      <c r="B40" s="32"/>
      <c r="C40" s="32"/>
      <c r="D40" s="32"/>
      <c r="E40" s="45"/>
      <c r="F40" s="45"/>
      <c r="G40" s="45"/>
      <c r="H40" s="46"/>
      <c r="I40" s="68"/>
      <c r="J40" s="67"/>
      <c r="K40" s="45"/>
      <c r="L40" s="45"/>
      <c r="M40" s="46"/>
      <c r="N40" s="68"/>
      <c r="O40" s="67"/>
      <c r="P40" s="34">
        <f t="shared" si="0"/>
        <v>0</v>
      </c>
      <c r="Q40" s="46"/>
      <c r="R40" s="69"/>
      <c r="S40" s="67"/>
      <c r="T40" s="45"/>
      <c r="U40" s="46"/>
      <c r="V40" s="70"/>
      <c r="W40" s="74"/>
      <c r="X40" s="45"/>
      <c r="Y40" s="45"/>
      <c r="Z40" s="45"/>
      <c r="AA40" s="46"/>
      <c r="AB40" s="68"/>
      <c r="AC40" s="67"/>
      <c r="AD40" s="45"/>
      <c r="AE40" s="46"/>
      <c r="AF40" s="68"/>
      <c r="AG40" s="90"/>
      <c r="AH40" s="45"/>
      <c r="AI40" s="45"/>
      <c r="AJ40" s="45"/>
      <c r="AK40" s="45"/>
      <c r="AL40" s="91"/>
      <c r="AM40" s="45"/>
      <c r="AN40" s="46"/>
      <c r="AO40" s="102"/>
      <c r="AP40" s="114"/>
    </row>
    <row r="41" ht="12.75" customHeight="1" spans="1:42">
      <c r="A41" s="31" t="s">
        <v>205</v>
      </c>
      <c r="B41" s="32"/>
      <c r="C41" s="32"/>
      <c r="D41" s="32"/>
      <c r="E41" s="45"/>
      <c r="F41" s="45"/>
      <c r="G41" s="45"/>
      <c r="H41" s="46"/>
      <c r="I41" s="68"/>
      <c r="J41" s="67"/>
      <c r="K41" s="45"/>
      <c r="L41" s="45"/>
      <c r="M41" s="46"/>
      <c r="N41" s="68"/>
      <c r="O41" s="67"/>
      <c r="P41" s="34">
        <f t="shared" si="0"/>
        <v>0</v>
      </c>
      <c r="Q41" s="46"/>
      <c r="R41" s="70"/>
      <c r="S41" s="67"/>
      <c r="T41" s="45"/>
      <c r="U41" s="46"/>
      <c r="V41" s="68"/>
      <c r="W41" s="74"/>
      <c r="X41" s="45"/>
      <c r="Y41" s="45"/>
      <c r="Z41" s="45"/>
      <c r="AA41" s="46"/>
      <c r="AB41" s="68"/>
      <c r="AC41" s="67"/>
      <c r="AD41" s="45"/>
      <c r="AE41" s="46"/>
      <c r="AF41" s="68"/>
      <c r="AG41" s="90"/>
      <c r="AH41" s="45"/>
      <c r="AI41" s="45"/>
      <c r="AJ41" s="45"/>
      <c r="AK41" s="45"/>
      <c r="AL41" s="91"/>
      <c r="AM41" s="45"/>
      <c r="AN41" s="46"/>
      <c r="AO41" s="102"/>
      <c r="AP41" s="114"/>
    </row>
    <row r="42" ht="12.75" customHeight="1" spans="1:42">
      <c r="A42" s="31" t="s">
        <v>206</v>
      </c>
      <c r="B42" s="32"/>
      <c r="C42" s="32"/>
      <c r="D42" s="32"/>
      <c r="E42" s="45"/>
      <c r="F42" s="45"/>
      <c r="G42" s="45"/>
      <c r="H42" s="46"/>
      <c r="I42" s="68"/>
      <c r="J42" s="67"/>
      <c r="K42" s="45"/>
      <c r="L42" s="45"/>
      <c r="M42" s="46"/>
      <c r="N42" s="68"/>
      <c r="O42" s="67"/>
      <c r="P42" s="34">
        <f t="shared" si="0"/>
        <v>0</v>
      </c>
      <c r="Q42" s="46"/>
      <c r="R42" s="68"/>
      <c r="S42" s="67"/>
      <c r="T42" s="45"/>
      <c r="U42" s="46"/>
      <c r="V42" s="68"/>
      <c r="W42" s="74"/>
      <c r="X42" s="45"/>
      <c r="Y42" s="45"/>
      <c r="Z42" s="45"/>
      <c r="AA42" s="46"/>
      <c r="AB42" s="68"/>
      <c r="AC42" s="67"/>
      <c r="AD42" s="45"/>
      <c r="AE42" s="46"/>
      <c r="AF42" s="68"/>
      <c r="AG42" s="90"/>
      <c r="AH42" s="45"/>
      <c r="AI42" s="45"/>
      <c r="AJ42" s="45"/>
      <c r="AK42" s="45"/>
      <c r="AL42" s="91"/>
      <c r="AM42" s="45"/>
      <c r="AN42" s="46"/>
      <c r="AO42" s="102"/>
      <c r="AP42" s="114"/>
    </row>
    <row r="43" ht="12.75" customHeight="1" spans="1:42">
      <c r="A43" s="31" t="s">
        <v>207</v>
      </c>
      <c r="B43" s="32"/>
      <c r="C43" s="32"/>
      <c r="D43" s="32"/>
      <c r="E43" s="45"/>
      <c r="F43" s="45"/>
      <c r="G43" s="45"/>
      <c r="H43" s="46"/>
      <c r="I43" s="68"/>
      <c r="J43" s="67"/>
      <c r="K43" s="45"/>
      <c r="L43" s="45"/>
      <c r="M43" s="46"/>
      <c r="N43" s="68"/>
      <c r="O43" s="67"/>
      <c r="P43" s="34">
        <f t="shared" si="0"/>
        <v>0</v>
      </c>
      <c r="Q43" s="46"/>
      <c r="R43" s="68"/>
      <c r="S43" s="67"/>
      <c r="T43" s="45"/>
      <c r="U43" s="46"/>
      <c r="V43" s="68"/>
      <c r="W43" s="74"/>
      <c r="X43" s="45"/>
      <c r="Y43" s="45"/>
      <c r="Z43" s="45"/>
      <c r="AA43" s="46"/>
      <c r="AB43" s="68"/>
      <c r="AC43" s="67"/>
      <c r="AD43" s="45"/>
      <c r="AE43" s="46"/>
      <c r="AF43" s="68"/>
      <c r="AG43" s="97"/>
      <c r="AH43" s="45"/>
      <c r="AI43" s="45"/>
      <c r="AJ43" s="45"/>
      <c r="AK43" s="45"/>
      <c r="AL43" s="98"/>
      <c r="AM43" s="45"/>
      <c r="AN43" s="46"/>
      <c r="AO43" s="115"/>
      <c r="AP43" s="114"/>
    </row>
    <row r="44" ht="12.75" customHeight="1" spans="1:42">
      <c r="A44" s="31" t="s">
        <v>208</v>
      </c>
      <c r="B44" s="32"/>
      <c r="C44" s="32"/>
      <c r="D44" s="32"/>
      <c r="E44" s="45"/>
      <c r="F44" s="45"/>
      <c r="G44" s="45"/>
      <c r="H44" s="46"/>
      <c r="I44" s="68"/>
      <c r="J44" s="67"/>
      <c r="K44" s="45"/>
      <c r="L44" s="45"/>
      <c r="M44" s="46"/>
      <c r="N44" s="68"/>
      <c r="O44" s="67"/>
      <c r="P44" s="34">
        <f t="shared" si="0"/>
        <v>0</v>
      </c>
      <c r="Q44" s="46"/>
      <c r="R44" s="68"/>
      <c r="S44" s="67"/>
      <c r="T44" s="45"/>
      <c r="U44" s="46"/>
      <c r="V44" s="68"/>
      <c r="W44" s="74"/>
      <c r="X44" s="45"/>
      <c r="Y44" s="45"/>
      <c r="Z44" s="45"/>
      <c r="AA44" s="46"/>
      <c r="AB44" s="68"/>
      <c r="AC44" s="67"/>
      <c r="AD44" s="45"/>
      <c r="AE44" s="46"/>
      <c r="AF44" s="68"/>
      <c r="AG44" s="97"/>
      <c r="AH44" s="45"/>
      <c r="AI44" s="45"/>
      <c r="AJ44" s="45"/>
      <c r="AK44" s="45"/>
      <c r="AL44" s="98"/>
      <c r="AM44" s="45"/>
      <c r="AN44" s="46"/>
      <c r="AO44" s="115"/>
      <c r="AP44" s="114"/>
    </row>
    <row r="45" ht="12.75" customHeight="1" spans="1:42">
      <c r="A45" s="31" t="s">
        <v>209</v>
      </c>
      <c r="B45" s="32"/>
      <c r="C45" s="32"/>
      <c r="D45" s="32"/>
      <c r="E45" s="45"/>
      <c r="F45" s="45"/>
      <c r="G45" s="45"/>
      <c r="H45" s="46"/>
      <c r="I45" s="69"/>
      <c r="J45" s="67"/>
      <c r="K45" s="45"/>
      <c r="L45" s="45"/>
      <c r="M45" s="46"/>
      <c r="N45" s="69"/>
      <c r="O45" s="67"/>
      <c r="P45" s="34">
        <f t="shared" si="0"/>
        <v>0</v>
      </c>
      <c r="Q45" s="46"/>
      <c r="R45" s="69"/>
      <c r="S45" s="67"/>
      <c r="T45" s="45"/>
      <c r="U45" s="46"/>
      <c r="V45" s="69"/>
      <c r="W45" s="74"/>
      <c r="X45" s="45"/>
      <c r="Y45" s="45"/>
      <c r="Z45" s="45"/>
      <c r="AA45" s="46"/>
      <c r="AB45" s="69"/>
      <c r="AC45" s="67"/>
      <c r="AD45" s="45"/>
      <c r="AE45" s="46"/>
      <c r="AF45" s="69"/>
      <c r="AG45" s="97"/>
      <c r="AH45" s="45"/>
      <c r="AI45" s="45"/>
      <c r="AJ45" s="45"/>
      <c r="AK45" s="45"/>
      <c r="AL45" s="98"/>
      <c r="AM45" s="45"/>
      <c r="AN45" s="46"/>
      <c r="AO45" s="115"/>
      <c r="AP45" s="114"/>
    </row>
  </sheetData>
  <mergeCells count="97">
    <mergeCell ref="A1:AP1"/>
    <mergeCell ref="C2:D2"/>
    <mergeCell ref="E2:AF2"/>
    <mergeCell ref="AH2:AN2"/>
    <mergeCell ref="C3:D3"/>
    <mergeCell ref="E3:I3"/>
    <mergeCell ref="J3:N3"/>
    <mergeCell ref="O3:R3"/>
    <mergeCell ref="S3:V3"/>
    <mergeCell ref="X3:AB3"/>
    <mergeCell ref="AC3:AF3"/>
    <mergeCell ref="B4:D4"/>
    <mergeCell ref="B5:D5"/>
    <mergeCell ref="B6:D6"/>
    <mergeCell ref="B7:D7"/>
    <mergeCell ref="B8:D8"/>
    <mergeCell ref="B11:D11"/>
    <mergeCell ref="B12:D12"/>
    <mergeCell ref="AS12:BC12"/>
    <mergeCell ref="B13:D13"/>
    <mergeCell ref="B14:D14"/>
    <mergeCell ref="AS14:AV14"/>
    <mergeCell ref="B15:D15"/>
    <mergeCell ref="AS15:AV15"/>
    <mergeCell ref="B16:D16"/>
    <mergeCell ref="AS16:AV16"/>
    <mergeCell ref="B17:D17"/>
    <mergeCell ref="AS17:AV17"/>
    <mergeCell ref="B18:D18"/>
    <mergeCell ref="AS18:AV18"/>
    <mergeCell ref="B19:D19"/>
    <mergeCell ref="AS19:AV19"/>
    <mergeCell ref="B20:D20"/>
    <mergeCell ref="AS20:AV20"/>
    <mergeCell ref="B21:D21"/>
    <mergeCell ref="AS21:AV21"/>
    <mergeCell ref="B22:D22"/>
    <mergeCell ref="AS22:AV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A2:A10"/>
    <mergeCell ref="E4:E10"/>
    <mergeCell ref="F4:F10"/>
    <mergeCell ref="G4:G10"/>
    <mergeCell ref="H4:H10"/>
    <mergeCell ref="I4:I10"/>
    <mergeCell ref="J4:J10"/>
    <mergeCell ref="K4:K10"/>
    <mergeCell ref="L4:L10"/>
    <mergeCell ref="M4:M10"/>
    <mergeCell ref="N4:N10"/>
    <mergeCell ref="O4:O10"/>
    <mergeCell ref="P4:P10"/>
    <mergeCell ref="Q4:Q10"/>
    <mergeCell ref="R4:R10"/>
    <mergeCell ref="S4:S10"/>
    <mergeCell ref="T4:T10"/>
    <mergeCell ref="U4:U10"/>
    <mergeCell ref="V4:V10"/>
    <mergeCell ref="X4:X10"/>
    <mergeCell ref="Y4:Y10"/>
    <mergeCell ref="Z4:Z10"/>
    <mergeCell ref="AA4:AA10"/>
    <mergeCell ref="AB4:AB10"/>
    <mergeCell ref="AC4:AC10"/>
    <mergeCell ref="AD4:AD10"/>
    <mergeCell ref="AE4:AE10"/>
    <mergeCell ref="AF4:AF10"/>
    <mergeCell ref="AH3:AH10"/>
    <mergeCell ref="AI3:AI10"/>
    <mergeCell ref="AJ3:AJ10"/>
    <mergeCell ref="AK3:AK10"/>
    <mergeCell ref="AM3:AM10"/>
    <mergeCell ref="AN3:AN10"/>
    <mergeCell ref="AP2:AP10"/>
    <mergeCell ref="B9:D10"/>
  </mergeCells>
  <conditionalFormatting sqref="AR15">
    <cfRule type="cellIs" dxfId="1" priority="37" stopIfTrue="1" operator="greaterThan">
      <formula>10</formula>
    </cfRule>
    <cfRule type="cellIs" dxfId="2" priority="38" stopIfTrue="1" operator="lessThanOrEqual">
      <formula>10.9</formula>
    </cfRule>
  </conditionalFormatting>
  <conditionalFormatting sqref="AR17">
    <cfRule type="cellIs" dxfId="1" priority="35" stopIfTrue="1" operator="greaterThan">
      <formula>10</formula>
    </cfRule>
    <cfRule type="cellIs" dxfId="2" priority="36" stopIfTrue="1" operator="lessThanOrEqual">
      <formula>10.9</formula>
    </cfRule>
  </conditionalFormatting>
  <conditionalFormatting sqref="N44:N45">
    <cfRule type="cellIs" dxfId="3" priority="168" stopIfTrue="1" operator="lessThan">
      <formula>11</formula>
    </cfRule>
    <cfRule type="cellIs" dxfId="4" priority="169" stopIfTrue="1" operator="greaterThan">
      <formula>10</formula>
    </cfRule>
    <cfRule type="cellIs" dxfId="5" priority="170" stopIfTrue="1" operator="lessThan">
      <formula>11</formula>
    </cfRule>
  </conditionalFormatting>
  <conditionalFormatting sqref="O29:O45">
    <cfRule type="cellIs" dxfId="4" priority="53" stopIfTrue="1" operator="greaterThan">
      <formula>10</formula>
    </cfRule>
    <cfRule type="cellIs" dxfId="6" priority="54" stopIfTrue="1" operator="lessThanOrEqual">
      <formula>10.9</formula>
    </cfRule>
  </conditionalFormatting>
  <conditionalFormatting sqref="T44:T45">
    <cfRule type="cellIs" dxfId="3" priority="160" stopIfTrue="1" operator="lessThan">
      <formula>11</formula>
    </cfRule>
    <cfRule type="cellIs" dxfId="4" priority="161" stopIfTrue="1" operator="greaterThan">
      <formula>10</formula>
    </cfRule>
    <cfRule type="cellIs" dxfId="5" priority="162" stopIfTrue="1" operator="lessThan">
      <formula>11</formula>
    </cfRule>
  </conditionalFormatting>
  <conditionalFormatting sqref="X29:X45">
    <cfRule type="cellIs" dxfId="3" priority="142" stopIfTrue="1" operator="lessThan">
      <formula>11</formula>
    </cfRule>
    <cfRule type="cellIs" dxfId="4" priority="143" stopIfTrue="1" operator="greaterThan">
      <formula>10</formula>
    </cfRule>
    <cfRule type="cellIs" dxfId="5" priority="144" stopIfTrue="1" operator="lessThan">
      <formula>11</formula>
    </cfRule>
    <cfRule type="cellIs" dxfId="4" priority="145" stopIfTrue="1" operator="greaterThan">
      <formula>10</formula>
    </cfRule>
    <cfRule type="cellIs" dxfId="6" priority="146" stopIfTrue="1" operator="lessThanOrEqual">
      <formula>10.9</formula>
    </cfRule>
    <cfRule type="cellIs" dxfId="3" priority="147" stopIfTrue="1" operator="lessThan">
      <formula>11</formula>
    </cfRule>
    <cfRule type="cellIs" dxfId="4" priority="148" stopIfTrue="1" operator="greaterThan">
      <formula>10</formula>
    </cfRule>
    <cfRule type="cellIs" dxfId="5" priority="149" stopIfTrue="1" operator="lessThan">
      <formula>11</formula>
    </cfRule>
  </conditionalFormatting>
  <conditionalFormatting sqref="AB42:AB45">
    <cfRule type="cellIs" dxfId="4" priority="124" stopIfTrue="1" operator="greaterThan">
      <formula>10</formula>
    </cfRule>
    <cfRule type="cellIs" dxfId="6" priority="125" stopIfTrue="1" operator="lessThanOrEqual">
      <formula>10.9</formula>
    </cfRule>
    <cfRule type="cellIs" dxfId="3" priority="126" stopIfTrue="1" operator="lessThan">
      <formula>11</formula>
    </cfRule>
    <cfRule type="cellIs" dxfId="4" priority="127" stopIfTrue="1" operator="greaterThan">
      <formula>10</formula>
    </cfRule>
    <cfRule type="cellIs" dxfId="5" priority="128" stopIfTrue="1" operator="lessThan">
      <formula>11</formula>
    </cfRule>
  </conditionalFormatting>
  <conditionalFormatting sqref="AC29:AC45">
    <cfRule type="cellIs" dxfId="3" priority="129" stopIfTrue="1" operator="lessThan">
      <formula>11</formula>
    </cfRule>
    <cfRule type="cellIs" dxfId="4" priority="130" stopIfTrue="1" operator="greaterThan">
      <formula>10</formula>
    </cfRule>
    <cfRule type="cellIs" dxfId="5" priority="131" stopIfTrue="1" operator="lessThan">
      <formula>11</formula>
    </cfRule>
    <cfRule type="cellIs" dxfId="4" priority="132" stopIfTrue="1" operator="greaterThan">
      <formula>10</formula>
    </cfRule>
    <cfRule type="cellIs" dxfId="6" priority="133" stopIfTrue="1" operator="lessThanOrEqual">
      <formula>10.9</formula>
    </cfRule>
    <cfRule type="cellIs" dxfId="3" priority="134" stopIfTrue="1" operator="lessThan">
      <formula>11</formula>
    </cfRule>
    <cfRule type="cellIs" dxfId="4" priority="135" stopIfTrue="1" operator="greaterThan">
      <formula>10</formula>
    </cfRule>
    <cfRule type="cellIs" dxfId="5" priority="136" stopIfTrue="1" operator="lessThan">
      <formula>11</formula>
    </cfRule>
  </conditionalFormatting>
  <conditionalFormatting sqref="AD44:AD45">
    <cfRule type="cellIs" dxfId="3" priority="184" stopIfTrue="1" operator="lessThan">
      <formula>11</formula>
    </cfRule>
    <cfRule type="cellIs" dxfId="4" priority="185" stopIfTrue="1" operator="greaterThan">
      <formula>10</formula>
    </cfRule>
    <cfRule type="cellIs" dxfId="5" priority="186" stopIfTrue="1" operator="lessThan">
      <formula>11</formula>
    </cfRule>
    <cfRule type="cellIs" dxfId="3" priority="187" stopIfTrue="1" operator="lessThan">
      <formula>11</formula>
    </cfRule>
    <cfRule type="cellIs" dxfId="4" priority="188" stopIfTrue="1" operator="greaterThan">
      <formula>10</formula>
    </cfRule>
    <cfRule type="cellIs" dxfId="5" priority="189" stopIfTrue="1" operator="lessThan">
      <formula>11</formula>
    </cfRule>
  </conditionalFormatting>
  <conditionalFormatting sqref="AE41:AE45">
    <cfRule type="cellIs" dxfId="7" priority="181" stopIfTrue="1" operator="lessThan">
      <formula>11</formula>
    </cfRule>
    <cfRule type="cellIs" dxfId="4" priority="182" stopIfTrue="1" operator="greaterThan">
      <formula>10</formula>
    </cfRule>
    <cfRule type="cellIs" dxfId="5" priority="183" stopIfTrue="1" operator="lessThan">
      <formula>11</formula>
    </cfRule>
  </conditionalFormatting>
  <conditionalFormatting sqref="AE44:AE45">
    <cfRule type="cellIs" dxfId="7" priority="178" stopIfTrue="1" operator="lessThan">
      <formula>11</formula>
    </cfRule>
    <cfRule type="cellIs" dxfId="4" priority="179" stopIfTrue="1" operator="greaterThan">
      <formula>10</formula>
    </cfRule>
    <cfRule type="cellIs" dxfId="5" priority="180" stopIfTrue="1" operator="lessThan">
      <formula>11</formula>
    </cfRule>
  </conditionalFormatting>
  <conditionalFormatting sqref="AF29:AF45">
    <cfRule type="cellIs" dxfId="4" priority="106" stopIfTrue="1" operator="greaterThan">
      <formula>10</formula>
    </cfRule>
    <cfRule type="cellIs" dxfId="6" priority="107" stopIfTrue="1" operator="lessThanOrEqual">
      <formula>10.9</formula>
    </cfRule>
    <cfRule type="cellIs" dxfId="3" priority="108" stopIfTrue="1" operator="lessThan">
      <formula>11</formula>
    </cfRule>
    <cfRule type="cellIs" dxfId="4" priority="109" stopIfTrue="1" operator="greaterThan">
      <formula>10</formula>
    </cfRule>
    <cfRule type="cellIs" dxfId="5" priority="110" stopIfTrue="1" operator="lessThan">
      <formula>11</formula>
    </cfRule>
  </conditionalFormatting>
  <conditionalFormatting sqref="AP44:AP45">
    <cfRule type="cellIs" dxfId="4" priority="171" stopIfTrue="1" operator="greaterThan">
      <formula>10</formula>
    </cfRule>
    <cfRule type="cellIs" dxfId="6" priority="172" stopIfTrue="1" operator="lessThanOrEqual">
      <formula>10.9</formula>
    </cfRule>
  </conditionalFormatting>
  <conditionalFormatting sqref="E11:G23">
    <cfRule type="cellIs" dxfId="3" priority="16" stopIfTrue="1" operator="lessThan">
      <formula>11</formula>
    </cfRule>
    <cfRule type="cellIs" dxfId="4" priority="17" stopIfTrue="1" operator="greaterThan">
      <formula>10</formula>
    </cfRule>
    <cfRule type="cellIs" dxfId="5" priority="18" stopIfTrue="1" operator="lessThan">
      <formula>11</formula>
    </cfRule>
  </conditionalFormatting>
  <conditionalFormatting sqref="J11:L22">
    <cfRule type="cellIs" dxfId="3" priority="19" stopIfTrue="1" operator="lessThan">
      <formula>11</formula>
    </cfRule>
    <cfRule type="cellIs" dxfId="4" priority="20" stopIfTrue="1" operator="greaterThan">
      <formula>10</formula>
    </cfRule>
    <cfRule type="cellIs" dxfId="5" priority="21" stopIfTrue="1" operator="lessThan">
      <formula>11</formula>
    </cfRule>
  </conditionalFormatting>
  <conditionalFormatting sqref="O11:P11;O12:O22;P12:P45">
    <cfRule type="cellIs" dxfId="3" priority="13" stopIfTrue="1" operator="lessThan">
      <formula>11</formula>
    </cfRule>
    <cfRule type="cellIs" dxfId="4" priority="14" stopIfTrue="1" operator="greaterThan">
      <formula>10</formula>
    </cfRule>
    <cfRule type="cellIs" dxfId="5" priority="15" stopIfTrue="1" operator="lessThan">
      <formula>11</formula>
    </cfRule>
  </conditionalFormatting>
  <conditionalFormatting sqref="S11:T22">
    <cfRule type="cellIs" dxfId="3" priority="10" stopIfTrue="1" operator="lessThan">
      <formula>11</formula>
    </cfRule>
    <cfRule type="cellIs" dxfId="4" priority="11" stopIfTrue="1" operator="greaterThan">
      <formula>10</formula>
    </cfRule>
    <cfRule type="cellIs" dxfId="5" priority="12" stopIfTrue="1" operator="lessThan">
      <formula>11</formula>
    </cfRule>
  </conditionalFormatting>
  <conditionalFormatting sqref="X11:AA22">
    <cfRule type="cellIs" dxfId="3" priority="7" stopIfTrue="1" operator="lessThan">
      <formula>11</formula>
    </cfRule>
    <cfRule type="cellIs" dxfId="4" priority="8" stopIfTrue="1" operator="greaterThan">
      <formula>10</formula>
    </cfRule>
    <cfRule type="cellIs" dxfId="5" priority="9" stopIfTrue="1" operator="lessThan">
      <formula>11</formula>
    </cfRule>
  </conditionalFormatting>
  <conditionalFormatting sqref="AC11:AE22">
    <cfRule type="cellIs" dxfId="3" priority="4" stopIfTrue="1" operator="lessThan">
      <formula>11</formula>
    </cfRule>
    <cfRule type="cellIs" dxfId="4" priority="5" stopIfTrue="1" operator="greaterThan">
      <formula>10</formula>
    </cfRule>
    <cfRule type="cellIs" dxfId="5" priority="6" stopIfTrue="1" operator="lessThan">
      <formula>11</formula>
    </cfRule>
  </conditionalFormatting>
  <conditionalFormatting sqref="AH11:AK22">
    <cfRule type="cellIs" dxfId="3" priority="1" stopIfTrue="1" operator="lessThan">
      <formula>11</formula>
    </cfRule>
    <cfRule type="cellIs" dxfId="4" priority="2" stopIfTrue="1" operator="greaterThan">
      <formula>10</formula>
    </cfRule>
    <cfRule type="cellIs" dxfId="5" priority="3" stopIfTrue="1" operator="lessThan">
      <formula>11</formula>
    </cfRule>
  </conditionalFormatting>
  <conditionalFormatting sqref="E29:G45">
    <cfRule type="cellIs" dxfId="4" priority="57" stopIfTrue="1" operator="greaterThan">
      <formula>10</formula>
    </cfRule>
    <cfRule type="cellIs" dxfId="6" priority="58" stopIfTrue="1" operator="lessThanOrEqual">
      <formula>10.9</formula>
    </cfRule>
  </conditionalFormatting>
  <conditionalFormatting sqref="J29:L45">
    <cfRule type="cellIs" dxfId="4" priority="55" stopIfTrue="1" operator="greaterThan">
      <formula>10</formula>
    </cfRule>
    <cfRule type="cellIs" dxfId="6" priority="56" stopIfTrue="1" operator="lessThanOrEqual">
      <formula>10.9</formula>
    </cfRule>
  </conditionalFormatting>
  <conditionalFormatting sqref="S29:T45">
    <cfRule type="cellIs" dxfId="4" priority="51" stopIfTrue="1" operator="greaterThan">
      <formula>10</formula>
    </cfRule>
    <cfRule type="cellIs" dxfId="6" priority="52" stopIfTrue="1" operator="lessThanOrEqual">
      <formula>10.9</formula>
    </cfRule>
  </conditionalFormatting>
  <conditionalFormatting sqref="AH29:AK41">
    <cfRule type="cellIs" dxfId="4" priority="99" stopIfTrue="1" operator="greaterThan">
      <formula>10</formula>
    </cfRule>
    <cfRule type="cellIs" dxfId="6" priority="100" stopIfTrue="1" operator="lessThanOrEqual">
      <formula>10.9</formula>
    </cfRule>
    <cfRule type="cellIs" dxfId="3" priority="101" stopIfTrue="1" operator="lessThan">
      <formula>11</formula>
    </cfRule>
    <cfRule type="cellIs" dxfId="5" priority="103" stopIfTrue="1" operator="lessThan">
      <formula>11</formula>
    </cfRule>
  </conditionalFormatting>
  <conditionalFormatting sqref="AH29:AK45">
    <cfRule type="cellIs" dxfId="4" priority="102" stopIfTrue="1" operator="greaterThan">
      <formula>10</formula>
    </cfRule>
  </conditionalFormatting>
  <conditionalFormatting sqref="AM29:AN41">
    <cfRule type="cellIs" dxfId="4" priority="73" stopIfTrue="1" operator="greaterThan">
      <formula>10</formula>
    </cfRule>
    <cfRule type="cellIs" dxfId="6" priority="74" stopIfTrue="1" operator="lessThanOrEqual">
      <formula>10.9</formula>
    </cfRule>
    <cfRule type="cellIs" dxfId="3" priority="75" stopIfTrue="1" operator="lessThan">
      <formula>11</formula>
    </cfRule>
    <cfRule type="cellIs" dxfId="5" priority="77" stopIfTrue="1" operator="lessThan">
      <formula>11</formula>
    </cfRule>
  </conditionalFormatting>
  <conditionalFormatting sqref="AM29:AN45">
    <cfRule type="cellIs" dxfId="4" priority="76" stopIfTrue="1" operator="greaterThan">
      <formula>10</formula>
    </cfRule>
  </conditionalFormatting>
  <conditionalFormatting sqref="AH42:AK45">
    <cfRule type="cellIs" dxfId="6" priority="138" stopIfTrue="1" operator="lessThanOrEqual">
      <formula>10.9</formula>
    </cfRule>
    <cfRule type="cellIs" dxfId="3" priority="139" stopIfTrue="1" operator="lessThan">
      <formula>11</formula>
    </cfRule>
    <cfRule type="cellIs" dxfId="4" priority="140" stopIfTrue="1" operator="greaterThan">
      <formula>10</formula>
    </cfRule>
    <cfRule type="cellIs" dxfId="5" priority="141" stopIfTrue="1" operator="lessThan">
      <formula>11</formula>
    </cfRule>
  </conditionalFormatting>
  <conditionalFormatting sqref="AM42:AN45">
    <cfRule type="cellIs" dxfId="6" priority="112" stopIfTrue="1" operator="lessThanOrEqual">
      <formula>10.9</formula>
    </cfRule>
    <cfRule type="cellIs" dxfId="3" priority="113" stopIfTrue="1" operator="lessThan">
      <formula>11</formula>
    </cfRule>
    <cfRule type="cellIs" dxfId="4" priority="114" stopIfTrue="1" operator="greaterThan">
      <formula>10</formula>
    </cfRule>
    <cfRule type="cellIs" dxfId="5" priority="115" stopIfTrue="1" operator="lessThan">
      <formula>11</formula>
    </cfRule>
  </conditionalFormatting>
  <conditionalFormatting sqref="Y44:AA45">
    <cfRule type="cellIs" dxfId="3" priority="175" stopIfTrue="1" operator="lessThan">
      <formula>11</formula>
    </cfRule>
    <cfRule type="cellIs" dxfId="4" priority="176" stopIfTrue="1" operator="greaterThan">
      <formula>10</formula>
    </cfRule>
    <cfRule type="cellIs" dxfId="5" priority="177" stopIfTrue="1" operator="lessThan">
      <formula>11</formula>
    </cfRule>
  </conditionalFormatting>
  <printOptions horizontalCentered="1"/>
  <pageMargins left="0.118110236220472" right="0.118110236220472" top="0.590551181102362" bottom="0.590551181102362" header="0.31496062992126" footer="0.31496062992126"/>
  <pageSetup paperSize="9" scale="76" orientation="landscape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workbookViewId="0">
      <selection activeCell="B3" sqref="B3:B19"/>
    </sheetView>
  </sheetViews>
  <sheetFormatPr defaultColWidth="11.3714285714286" defaultRowHeight="15" outlineLevelCol="4"/>
  <cols>
    <col min="5" max="5" width="26.8761904761905" customWidth="1"/>
  </cols>
  <sheetData>
    <row r="1" spans="1:5">
      <c r="A1" s="1" t="s">
        <v>276</v>
      </c>
      <c r="B1" s="2" t="s">
        <v>277</v>
      </c>
      <c r="C1" s="2" t="s">
        <v>278</v>
      </c>
      <c r="D1" s="2" t="s">
        <v>279</v>
      </c>
      <c r="E1" s="2" t="s">
        <v>280</v>
      </c>
    </row>
    <row r="2" spans="1:5">
      <c r="A2" s="3" t="s">
        <v>281</v>
      </c>
      <c r="B2" s="4" t="s">
        <v>282</v>
      </c>
      <c r="C2" s="4" t="s">
        <v>283</v>
      </c>
      <c r="D2" s="4" t="s">
        <v>284</v>
      </c>
      <c r="E2" s="5" t="s">
        <v>285</v>
      </c>
    </row>
    <row r="3" spans="1:5">
      <c r="A3" s="3" t="s">
        <v>286</v>
      </c>
      <c r="B3" s="4" t="s">
        <v>282</v>
      </c>
      <c r="C3" s="4" t="s">
        <v>287</v>
      </c>
      <c r="D3" s="4" t="s">
        <v>288</v>
      </c>
      <c r="E3" s="5" t="s">
        <v>289</v>
      </c>
    </row>
    <row r="4" spans="1:5">
      <c r="A4" s="3" t="s">
        <v>290</v>
      </c>
      <c r="B4" s="4" t="s">
        <v>282</v>
      </c>
      <c r="C4" s="4" t="s">
        <v>291</v>
      </c>
      <c r="D4" s="4" t="s">
        <v>292</v>
      </c>
      <c r="E4" s="5" t="s">
        <v>293</v>
      </c>
    </row>
    <row r="5" spans="1:5">
      <c r="A5" s="3" t="s">
        <v>294</v>
      </c>
      <c r="B5" s="4" t="s">
        <v>282</v>
      </c>
      <c r="C5" s="4" t="s">
        <v>295</v>
      </c>
      <c r="D5" s="4" t="s">
        <v>296</v>
      </c>
      <c r="E5" s="5" t="s">
        <v>297</v>
      </c>
    </row>
    <row r="6" spans="1:5">
      <c r="A6" s="3" t="s">
        <v>298</v>
      </c>
      <c r="B6" s="4" t="s">
        <v>282</v>
      </c>
      <c r="C6" s="4" t="s">
        <v>299</v>
      </c>
      <c r="D6" s="4" t="s">
        <v>300</v>
      </c>
      <c r="E6" s="5" t="s">
        <v>301</v>
      </c>
    </row>
    <row r="7" spans="1:5">
      <c r="A7" s="3" t="s">
        <v>302</v>
      </c>
      <c r="B7" s="4" t="s">
        <v>282</v>
      </c>
      <c r="C7" s="4" t="s">
        <v>303</v>
      </c>
      <c r="D7" s="4" t="s">
        <v>300</v>
      </c>
      <c r="E7" s="5" t="s">
        <v>304</v>
      </c>
    </row>
    <row r="8" spans="1:5">
      <c r="A8" s="3" t="s">
        <v>305</v>
      </c>
      <c r="B8" s="4" t="s">
        <v>282</v>
      </c>
      <c r="C8" s="4" t="s">
        <v>306</v>
      </c>
      <c r="D8" s="4" t="s">
        <v>307</v>
      </c>
      <c r="E8" s="5" t="s">
        <v>308</v>
      </c>
    </row>
    <row r="9" spans="1:5">
      <c r="A9" s="3" t="s">
        <v>309</v>
      </c>
      <c r="B9" s="4" t="s">
        <v>282</v>
      </c>
      <c r="C9" s="4" t="s">
        <v>310</v>
      </c>
      <c r="D9" s="4" t="s">
        <v>311</v>
      </c>
      <c r="E9" s="5" t="s">
        <v>312</v>
      </c>
    </row>
    <row r="10" spans="1:5">
      <c r="A10" s="3" t="s">
        <v>313</v>
      </c>
      <c r="B10" s="4" t="s">
        <v>282</v>
      </c>
      <c r="C10" s="4" t="s">
        <v>314</v>
      </c>
      <c r="D10" s="4" t="s">
        <v>315</v>
      </c>
      <c r="E10" s="5" t="s">
        <v>316</v>
      </c>
    </row>
    <row r="11" spans="1:5">
      <c r="A11" s="3" t="s">
        <v>317</v>
      </c>
      <c r="B11" s="4" t="s">
        <v>282</v>
      </c>
      <c r="C11" s="4" t="s">
        <v>314</v>
      </c>
      <c r="D11" s="4" t="s">
        <v>318</v>
      </c>
      <c r="E11" s="5" t="s">
        <v>319</v>
      </c>
    </row>
    <row r="12" spans="1:5">
      <c r="A12" s="3" t="s">
        <v>320</v>
      </c>
      <c r="B12" s="4" t="s">
        <v>282</v>
      </c>
      <c r="C12" s="4" t="s">
        <v>321</v>
      </c>
      <c r="D12" s="4" t="s">
        <v>322</v>
      </c>
      <c r="E12" s="5" t="s">
        <v>323</v>
      </c>
    </row>
    <row r="13" spans="1:5">
      <c r="A13" s="3" t="s">
        <v>324</v>
      </c>
      <c r="B13" s="4" t="s">
        <v>282</v>
      </c>
      <c r="C13" s="4" t="s">
        <v>325</v>
      </c>
      <c r="D13" s="4" t="s">
        <v>326</v>
      </c>
      <c r="E13" s="5" t="s">
        <v>327</v>
      </c>
    </row>
    <row r="14" spans="1:5">
      <c r="A14" s="3" t="s">
        <v>328</v>
      </c>
      <c r="B14" s="4" t="s">
        <v>282</v>
      </c>
      <c r="C14" s="4" t="s">
        <v>329</v>
      </c>
      <c r="D14" s="4" t="s">
        <v>330</v>
      </c>
      <c r="E14" s="5" t="s">
        <v>331</v>
      </c>
    </row>
    <row r="15" spans="1:5">
      <c r="A15" s="3" t="s">
        <v>332</v>
      </c>
      <c r="B15" s="4" t="s">
        <v>282</v>
      </c>
      <c r="C15" s="4" t="s">
        <v>333</v>
      </c>
      <c r="D15" s="4" t="s">
        <v>330</v>
      </c>
      <c r="E15" s="5" t="s">
        <v>334</v>
      </c>
    </row>
    <row r="16" spans="1:5">
      <c r="A16" s="3" t="s">
        <v>335</v>
      </c>
      <c r="B16" s="4" t="s">
        <v>282</v>
      </c>
      <c r="C16" s="4" t="s">
        <v>336</v>
      </c>
      <c r="D16" s="4" t="s">
        <v>337</v>
      </c>
      <c r="E16" s="5" t="s">
        <v>338</v>
      </c>
    </row>
    <row r="17" spans="1:5">
      <c r="A17" s="3" t="s">
        <v>339</v>
      </c>
      <c r="B17" s="4" t="s">
        <v>282</v>
      </c>
      <c r="C17" s="4" t="s">
        <v>340</v>
      </c>
      <c r="D17" s="4" t="s">
        <v>341</v>
      </c>
      <c r="E17" s="5" t="s">
        <v>342</v>
      </c>
    </row>
    <row r="18" spans="1:5">
      <c r="A18" s="3" t="s">
        <v>343</v>
      </c>
      <c r="B18" s="4" t="s">
        <v>282</v>
      </c>
      <c r="C18" s="4" t="s">
        <v>340</v>
      </c>
      <c r="D18" s="4" t="s">
        <v>344</v>
      </c>
      <c r="E18" s="5" t="s">
        <v>345</v>
      </c>
    </row>
    <row r="19" spans="1:5">
      <c r="A19" s="3" t="s">
        <v>346</v>
      </c>
      <c r="B19" s="4" t="s">
        <v>282</v>
      </c>
      <c r="C19" s="4" t="s">
        <v>347</v>
      </c>
      <c r="D19" s="4" t="s">
        <v>348</v>
      </c>
      <c r="E19" s="5" t="s">
        <v>349</v>
      </c>
    </row>
  </sheetData>
  <hyperlinks>
    <hyperlink ref="E2" r:id="rId1" display="peberrocal@xyz.com"/>
    <hyperlink ref="E3" r:id="rId2" display="alchavez@xyz.com"/>
    <hyperlink ref="E4" r:id="rId3" display="emechegaray@xyz.com"/>
    <hyperlink ref="E5" r:id="rId4" display="erencalada@xyz.com"/>
    <hyperlink ref="E6" r:id="rId5" display="piespino@xyz.com"/>
    <hyperlink ref="E7" r:id="rId6" display="feespino@xyz.com"/>
    <hyperlink ref="E8" r:id="rId7" display="jeevanan@xyz.com"/>
    <hyperlink ref="E9" r:id="rId8" display="lehernandez@xyz.com"/>
    <hyperlink ref="E10" r:id="rId9" display="luluna@xyz.com"/>
    <hyperlink ref="E11" r:id="rId10" display="lumozo@xyz.com"/>
    <hyperlink ref="E12" r:id="rId11" display="juramirez@xyz.com"/>
    <hyperlink ref="E13" r:id="rId12" display="wirejas@xyz.com"/>
    <hyperlink ref="E14" r:id="rId13" display="rorevatta@xyz.com"/>
    <hyperlink ref="E15" r:id="rId14" display="larevatta@xyz.com"/>
    <hyperlink ref="E16" r:id="rId15" display="gusiguas@xyz.com"/>
    <hyperlink ref="E17" r:id="rId16" display="ketoledo@xyz.com"/>
    <hyperlink ref="E18" r:id="rId17" display="kevallejos@xyz.com"/>
    <hyperlink ref="E19" r:id="rId18" display="vivasquez@xyz.com"/>
  </hyperlink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17" sqref="G17"/>
    </sheetView>
  </sheetViews>
  <sheetFormatPr defaultColWidth="9" defaultRowHeight="15"/>
  <sheetData/>
  <pageMargins left="0.7" right="0.7" top="0.75" bottom="0.75" header="0.3" footer="0.3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2380952380952" defaultRowHeight="15"/>
  <sheetData/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2380952380952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RELACION ESTUDIANTES - 2022</vt:lpstr>
      <vt:lpstr>3RO-D</vt:lpstr>
      <vt:lpstr>3RO-D-1B-FINAL</vt:lpstr>
      <vt:lpstr>5TO-I</vt:lpstr>
      <vt:lpstr>5TO-I-1B-FINAL</vt:lpstr>
      <vt:lpstr>5TO-R</vt:lpstr>
      <vt:lpstr>5TO-R-1B-FINAL</vt:lpstr>
      <vt:lpstr>plataforma-3er</vt:lpstr>
      <vt:lpstr>Hoja2</vt:lpstr>
      <vt:lpstr>Hoja10</vt:lpstr>
      <vt:lpstr>Hoja11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cesar soria quispe</dc:creator>
  <cp:lastModifiedBy>julio soria</cp:lastModifiedBy>
  <dcterms:created xsi:type="dcterms:W3CDTF">2022-04-23T12:45:00Z</dcterms:created>
  <dcterms:modified xsi:type="dcterms:W3CDTF">2025-07-25T03:12:40Z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3082-12.2.0.21931</vt:lpwstr>
  </property>
</Properties>
</file>